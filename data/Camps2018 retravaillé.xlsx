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err\Desktop\"/>
    </mc:Choice>
  </mc:AlternateContent>
  <xr:revisionPtr revIDLastSave="0" documentId="13_ncr:1_{55C29439-1A5B-4DDC-842F-EDBA41063C7E}" xr6:coauthVersionLast="40" xr6:coauthVersionMax="40" xr10:uidLastSave="{00000000-0000-0000-0000-000000000000}"/>
  <bookViews>
    <workbookView xWindow="120" yWindow="140" windowWidth="15600" windowHeight="10010" firstSheet="3" activeTab="9" xr2:uid="{00000000-000D-0000-FFFF-FFFF00000000}"/>
  </bookViews>
  <sheets>
    <sheet name="CAMPS18" sheetId="1" r:id="rId1"/>
    <sheet name="BAFA18" sheetId="7" r:id="rId2"/>
    <sheet name="BAFD18" sheetId="9" r:id="rId3"/>
    <sheet name="SV18" sheetId="10" r:id="rId4"/>
    <sheet name="CARTE 2" sheetId="4" r:id="rId5"/>
    <sheet name="CARTE 4" sheetId="3" r:id="rId6"/>
    <sheet name="CARTE 5" sheetId="8" r:id="rId7"/>
    <sheet name="CARTE 6" sheetId="11" r:id="rId8"/>
    <sheet name="CARTE 7" sheetId="6" r:id="rId9"/>
    <sheet name="CARTE 9" sheetId="13" r:id="rId10"/>
    <sheet name="CARTE 10" sheetId="5" r:id="rId11"/>
    <sheet name="CARTE 11" sheetId="12" r:id="rId12"/>
  </sheets>
  <definedNames>
    <definedName name="_xlnm._FilterDatabase" localSheetId="0" hidden="1">CAMPS18!$A$1:$AW$265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" i="12" l="1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4" i="12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4" i="11"/>
  <c r="AU4" i="10"/>
  <c r="AU5" i="10"/>
  <c r="AU6" i="10"/>
  <c r="AU7" i="10"/>
  <c r="C32" i="11" s="1"/>
  <c r="AU8" i="10"/>
  <c r="AU9" i="10"/>
  <c r="AU10" i="10"/>
  <c r="AU11" i="10"/>
  <c r="C17" i="11" s="1"/>
  <c r="AU12" i="10"/>
  <c r="AU13" i="10"/>
  <c r="AU14" i="10"/>
  <c r="C52" i="11" s="1"/>
  <c r="AU15" i="10"/>
  <c r="C88" i="11" s="1"/>
  <c r="AU16" i="10"/>
  <c r="AU17" i="10"/>
  <c r="AU18" i="10"/>
  <c r="C76" i="11" s="1"/>
  <c r="AU19" i="10"/>
  <c r="C25" i="11" s="1"/>
  <c r="AU20" i="10"/>
  <c r="AU21" i="10"/>
  <c r="AU22" i="10"/>
  <c r="AU23" i="10"/>
  <c r="AU24" i="10"/>
  <c r="AU25" i="10"/>
  <c r="AU26" i="10"/>
  <c r="AU27" i="10"/>
  <c r="AU28" i="10"/>
  <c r="AU29" i="10"/>
  <c r="AU30" i="10"/>
  <c r="C27" i="11" s="1"/>
  <c r="AU31" i="10"/>
  <c r="AU32" i="10"/>
  <c r="AU33" i="10"/>
  <c r="AU34" i="10"/>
  <c r="AU35" i="10"/>
  <c r="AU36" i="10"/>
  <c r="AU37" i="10"/>
  <c r="AU38" i="10"/>
  <c r="C91" i="11" s="1"/>
  <c r="AU39" i="10"/>
  <c r="AU40" i="10"/>
  <c r="AU41" i="10"/>
  <c r="AU42" i="10"/>
  <c r="AU43" i="10"/>
  <c r="C72" i="11" s="1"/>
  <c r="AU44" i="10"/>
  <c r="AU45" i="10"/>
  <c r="AU46" i="10"/>
  <c r="AU47" i="10"/>
  <c r="C77" i="11" s="1"/>
  <c r="AU48" i="10"/>
  <c r="AU49" i="10"/>
  <c r="AU50" i="10"/>
  <c r="C4" i="11" s="1"/>
  <c r="AU51" i="10"/>
  <c r="AU52" i="10"/>
  <c r="AU53" i="10"/>
  <c r="AU54" i="10"/>
  <c r="C28" i="11" s="1"/>
  <c r="AU55" i="10"/>
  <c r="C73" i="11" s="1"/>
  <c r="AU56" i="10"/>
  <c r="AU57" i="10"/>
  <c r="AU58" i="10"/>
  <c r="AU59" i="10"/>
  <c r="AU60" i="10"/>
  <c r="AU61" i="10"/>
  <c r="AU62" i="10"/>
  <c r="C55" i="11" s="1"/>
  <c r="AU63" i="10"/>
  <c r="AU64" i="10"/>
  <c r="AU65" i="10"/>
  <c r="AU66" i="10"/>
  <c r="AU67" i="10"/>
  <c r="C69" i="11" s="1"/>
  <c r="AU68" i="10"/>
  <c r="AU69" i="10"/>
  <c r="AU70" i="10"/>
  <c r="AU71" i="10"/>
  <c r="AU72" i="10"/>
  <c r="AU73" i="10"/>
  <c r="AU74" i="10"/>
  <c r="AU75" i="10"/>
  <c r="C41" i="11" s="1"/>
  <c r="AU76" i="10"/>
  <c r="AU77" i="10"/>
  <c r="AU78" i="10"/>
  <c r="AU79" i="10"/>
  <c r="AU80" i="10"/>
  <c r="AU81" i="10"/>
  <c r="AU82" i="10"/>
  <c r="AU83" i="10"/>
  <c r="C20" i="11" s="1"/>
  <c r="AU84" i="10"/>
  <c r="AU85" i="10"/>
  <c r="AU86" i="10"/>
  <c r="AU87" i="10"/>
  <c r="AU88" i="10"/>
  <c r="AU89" i="10"/>
  <c r="AU90" i="10"/>
  <c r="AU91" i="10"/>
  <c r="AU92" i="10"/>
  <c r="AU93" i="10"/>
  <c r="AU94" i="10"/>
  <c r="C59" i="11" s="1"/>
  <c r="AU95" i="10"/>
  <c r="AU96" i="10"/>
  <c r="AU97" i="10"/>
  <c r="AU98" i="10"/>
  <c r="AU99" i="10"/>
  <c r="AU100" i="10"/>
  <c r="AU101" i="10"/>
  <c r="AU102" i="10"/>
  <c r="AU103" i="10"/>
  <c r="C19" i="11" s="1"/>
  <c r="AU104" i="10"/>
  <c r="AU105" i="10"/>
  <c r="AU106" i="10"/>
  <c r="AU107" i="10"/>
  <c r="C36" i="11" s="1"/>
  <c r="AU108" i="10"/>
  <c r="AU109" i="10"/>
  <c r="AU110" i="10"/>
  <c r="C47" i="11" s="1"/>
  <c r="AU111" i="10"/>
  <c r="AU112" i="10"/>
  <c r="AU113" i="10"/>
  <c r="AU114" i="10"/>
  <c r="C16" i="11" s="1"/>
  <c r="AU115" i="10"/>
  <c r="C61" i="11" s="1"/>
  <c r="AU116" i="10"/>
  <c r="AU117" i="10"/>
  <c r="AU118" i="10"/>
  <c r="AU119" i="10"/>
  <c r="C79" i="11" s="1"/>
  <c r="AU120" i="10"/>
  <c r="AU3" i="10"/>
  <c r="C5" i="11"/>
  <c r="C6" i="11"/>
  <c r="C7" i="11"/>
  <c r="C8" i="11"/>
  <c r="C9" i="11"/>
  <c r="C10" i="11"/>
  <c r="C11" i="11"/>
  <c r="C12" i="11"/>
  <c r="C13" i="11"/>
  <c r="C14" i="11"/>
  <c r="C15" i="11"/>
  <c r="C18" i="11"/>
  <c r="C21" i="11"/>
  <c r="C22" i="11"/>
  <c r="C23" i="11"/>
  <c r="C24" i="11"/>
  <c r="C26" i="11"/>
  <c r="C29" i="11"/>
  <c r="C30" i="11"/>
  <c r="C31" i="11"/>
  <c r="C33" i="11"/>
  <c r="C34" i="11"/>
  <c r="C35" i="11"/>
  <c r="C37" i="11"/>
  <c r="C38" i="11"/>
  <c r="C39" i="11"/>
  <c r="C40" i="11"/>
  <c r="C42" i="11"/>
  <c r="C43" i="11"/>
  <c r="C44" i="11"/>
  <c r="C45" i="11"/>
  <c r="C46" i="11"/>
  <c r="C48" i="11"/>
  <c r="C49" i="11"/>
  <c r="C50" i="11"/>
  <c r="C51" i="11"/>
  <c r="C53" i="11"/>
  <c r="C54" i="11"/>
  <c r="C56" i="11"/>
  <c r="C57" i="11"/>
  <c r="C58" i="11"/>
  <c r="C60" i="11"/>
  <c r="C62" i="11"/>
  <c r="C63" i="11"/>
  <c r="C64" i="11"/>
  <c r="C65" i="11"/>
  <c r="C66" i="11"/>
  <c r="C67" i="11"/>
  <c r="C68" i="11"/>
  <c r="C70" i="11"/>
  <c r="C71" i="11"/>
  <c r="C74" i="11"/>
  <c r="C75" i="11"/>
  <c r="C78" i="11"/>
  <c r="C80" i="11"/>
  <c r="C81" i="11"/>
  <c r="C82" i="11"/>
  <c r="C83" i="11"/>
  <c r="C84" i="11"/>
  <c r="C85" i="11"/>
  <c r="C86" i="11"/>
  <c r="C87" i="11"/>
  <c r="C89" i="11"/>
  <c r="C90" i="11"/>
  <c r="C92" i="11"/>
  <c r="C93" i="11"/>
  <c r="C94" i="11"/>
  <c r="C95" i="11"/>
  <c r="C96" i="11"/>
  <c r="C97" i="11"/>
  <c r="C98" i="11"/>
  <c r="C99" i="11"/>
  <c r="C100" i="11"/>
  <c r="C101" i="11"/>
  <c r="C102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4" i="11"/>
  <c r="B6" i="1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5" i="11"/>
  <c r="AP120" i="10"/>
  <c r="AM120" i="10"/>
  <c r="AO120" i="10" s="1"/>
  <c r="AS120" i="10" s="1"/>
  <c r="AG120" i="10"/>
  <c r="AQ120" i="10" s="1"/>
  <c r="AP119" i="10"/>
  <c r="AO119" i="10"/>
  <c r="AS119" i="10" s="1"/>
  <c r="AM119" i="10"/>
  <c r="AR119" i="10" s="1"/>
  <c r="AG119" i="10"/>
  <c r="AQ119" i="10" s="1"/>
  <c r="AP118" i="10"/>
  <c r="AM118" i="10"/>
  <c r="AO118" i="10" s="1"/>
  <c r="AS118" i="10" s="1"/>
  <c r="AG118" i="10"/>
  <c r="AQ118" i="10" s="1"/>
  <c r="AP117" i="10"/>
  <c r="AO117" i="10"/>
  <c r="AS117" i="10" s="1"/>
  <c r="AM117" i="10"/>
  <c r="AR117" i="10" s="1"/>
  <c r="AG117" i="10"/>
  <c r="AQ117" i="10" s="1"/>
  <c r="AP116" i="10"/>
  <c r="AM116" i="10"/>
  <c r="AO116" i="10" s="1"/>
  <c r="AS116" i="10" s="1"/>
  <c r="AG116" i="10"/>
  <c r="AQ116" i="10" s="1"/>
  <c r="AP115" i="10"/>
  <c r="AO115" i="10"/>
  <c r="AS115" i="10" s="1"/>
  <c r="AM115" i="10"/>
  <c r="AR115" i="10" s="1"/>
  <c r="AG115" i="10"/>
  <c r="AQ115" i="10" s="1"/>
  <c r="AQ114" i="10"/>
  <c r="AP114" i="10"/>
  <c r="AM114" i="10"/>
  <c r="AO114" i="10" s="1"/>
  <c r="AS114" i="10" s="1"/>
  <c r="AQ113" i="10"/>
  <c r="AP113" i="10"/>
  <c r="AM113" i="10"/>
  <c r="AO113" i="10" s="1"/>
  <c r="AS113" i="10" s="1"/>
  <c r="AQ112" i="10"/>
  <c r="AP112" i="10"/>
  <c r="AM112" i="10"/>
  <c r="AO112" i="10" s="1"/>
  <c r="AS112" i="10" s="1"/>
  <c r="AQ111" i="10"/>
  <c r="AP111" i="10"/>
  <c r="AM111" i="10"/>
  <c r="AO111" i="10" s="1"/>
  <c r="AS111" i="10" s="1"/>
  <c r="AQ110" i="10"/>
  <c r="AP110" i="10"/>
  <c r="AM110" i="10"/>
  <c r="AO110" i="10" s="1"/>
  <c r="AS110" i="10" s="1"/>
  <c r="AQ109" i="10"/>
  <c r="AP109" i="10"/>
  <c r="AM109" i="10"/>
  <c r="AO109" i="10" s="1"/>
  <c r="AS109" i="10" s="1"/>
  <c r="AQ108" i="10"/>
  <c r="AP108" i="10"/>
  <c r="AM108" i="10"/>
  <c r="AQ107" i="10"/>
  <c r="AP107" i="10"/>
  <c r="AM107" i="10"/>
  <c r="AO107" i="10" s="1"/>
  <c r="AQ106" i="10"/>
  <c r="AP106" i="10"/>
  <c r="AM106" i="10"/>
  <c r="AO106" i="10" s="1"/>
  <c r="AS106" i="10" s="1"/>
  <c r="AQ105" i="10"/>
  <c r="AP105" i="10"/>
  <c r="AM105" i="10"/>
  <c r="AO105" i="10" s="1"/>
  <c r="AS105" i="10" s="1"/>
  <c r="AQ104" i="10"/>
  <c r="AP104" i="10"/>
  <c r="AM104" i="10"/>
  <c r="AO104" i="10" s="1"/>
  <c r="AS104" i="10" s="1"/>
  <c r="AQ103" i="10"/>
  <c r="AP103" i="10"/>
  <c r="AM103" i="10"/>
  <c r="AO103" i="10" s="1"/>
  <c r="AS103" i="10" s="1"/>
  <c r="AR102" i="10"/>
  <c r="AQ102" i="10"/>
  <c r="AP102" i="10"/>
  <c r="AM102" i="10"/>
  <c r="AO102" i="10" s="1"/>
  <c r="AS102" i="10" s="1"/>
  <c r="AQ101" i="10"/>
  <c r="AP101" i="10"/>
  <c r="AM101" i="10"/>
  <c r="AO101" i="10" s="1"/>
  <c r="AR100" i="10"/>
  <c r="AQ100" i="10"/>
  <c r="AP100" i="10"/>
  <c r="AM100" i="10"/>
  <c r="AO100" i="10" s="1"/>
  <c r="AS100" i="10" s="1"/>
  <c r="AQ99" i="10"/>
  <c r="AP99" i="10"/>
  <c r="AM99" i="10"/>
  <c r="AO99" i="10" s="1"/>
  <c r="AQ98" i="10"/>
  <c r="AP98" i="10"/>
  <c r="AM98" i="10"/>
  <c r="AO98" i="10" s="1"/>
  <c r="AS98" i="10" s="1"/>
  <c r="AQ97" i="10"/>
  <c r="AP97" i="10"/>
  <c r="AM97" i="10"/>
  <c r="AO97" i="10" s="1"/>
  <c r="AS97" i="10" s="1"/>
  <c r="AQ96" i="10"/>
  <c r="AP96" i="10"/>
  <c r="AM96" i="10"/>
  <c r="AO96" i="10" s="1"/>
  <c r="AS96" i="10" s="1"/>
  <c r="AQ95" i="10"/>
  <c r="AP95" i="10"/>
  <c r="AM95" i="10"/>
  <c r="AO95" i="10" s="1"/>
  <c r="AS95" i="10" s="1"/>
  <c r="AR94" i="10"/>
  <c r="AQ94" i="10"/>
  <c r="AP94" i="10"/>
  <c r="AM94" i="10"/>
  <c r="AO94" i="10" s="1"/>
  <c r="AS94" i="10" s="1"/>
  <c r="AQ93" i="10"/>
  <c r="AP93" i="10"/>
  <c r="AM93" i="10"/>
  <c r="AO93" i="10" s="1"/>
  <c r="AR92" i="10"/>
  <c r="AQ92" i="10"/>
  <c r="AP92" i="10"/>
  <c r="AM92" i="10"/>
  <c r="AO92" i="10" s="1"/>
  <c r="AS92" i="10" s="1"/>
  <c r="AQ91" i="10"/>
  <c r="AP91" i="10"/>
  <c r="AM91" i="10"/>
  <c r="AO91" i="10" s="1"/>
  <c r="AQ90" i="10"/>
  <c r="AP90" i="10"/>
  <c r="AM90" i="10"/>
  <c r="AO90" i="10" s="1"/>
  <c r="AS90" i="10" s="1"/>
  <c r="AQ89" i="10"/>
  <c r="AP89" i="10"/>
  <c r="AM89" i="10"/>
  <c r="AO89" i="10" s="1"/>
  <c r="AS89" i="10" s="1"/>
  <c r="AQ88" i="10"/>
  <c r="AP88" i="10"/>
  <c r="AM88" i="10"/>
  <c r="AO88" i="10" s="1"/>
  <c r="AS88" i="10" s="1"/>
  <c r="AP87" i="10"/>
  <c r="AM87" i="10"/>
  <c r="AO87" i="10" s="1"/>
  <c r="AG87" i="10"/>
  <c r="AQ87" i="10" s="1"/>
  <c r="AS86" i="10"/>
  <c r="AQ86" i="10"/>
  <c r="AP86" i="10"/>
  <c r="AO86" i="10"/>
  <c r="AM86" i="10"/>
  <c r="AR86" i="10" s="1"/>
  <c r="AQ85" i="10"/>
  <c r="AP85" i="10"/>
  <c r="AO85" i="10"/>
  <c r="AS85" i="10" s="1"/>
  <c r="AM85" i="10"/>
  <c r="AR85" i="10" s="1"/>
  <c r="AQ84" i="10"/>
  <c r="AP84" i="10"/>
  <c r="AO84" i="10"/>
  <c r="AS84" i="10" s="1"/>
  <c r="AM84" i="10"/>
  <c r="AR84" i="10" s="1"/>
  <c r="AQ83" i="10"/>
  <c r="AP83" i="10"/>
  <c r="AO83" i="10"/>
  <c r="AS83" i="10" s="1"/>
  <c r="AM83" i="10"/>
  <c r="AR83" i="10" s="1"/>
  <c r="AQ82" i="10"/>
  <c r="AP82" i="10"/>
  <c r="AO82" i="10"/>
  <c r="AS82" i="10" s="1"/>
  <c r="AM82" i="10"/>
  <c r="AR82" i="10" s="1"/>
  <c r="AQ39" i="10"/>
  <c r="AP39" i="10"/>
  <c r="AM39" i="10"/>
  <c r="AR39" i="10" s="1"/>
  <c r="AG39" i="10"/>
  <c r="AO39" i="10" s="1"/>
  <c r="AS39" i="10" s="1"/>
  <c r="AP38" i="10"/>
  <c r="AM38" i="10"/>
  <c r="AO38" i="10" s="1"/>
  <c r="AS38" i="10" s="1"/>
  <c r="AG38" i="10"/>
  <c r="AQ38" i="10" s="1"/>
  <c r="AR37" i="10"/>
  <c r="AQ37" i="10"/>
  <c r="AP37" i="10"/>
  <c r="AO37" i="10"/>
  <c r="AS37" i="10" s="1"/>
  <c r="AG37" i="10"/>
  <c r="AP36" i="10"/>
  <c r="AO36" i="10"/>
  <c r="AS36" i="10" s="1"/>
  <c r="AM36" i="10"/>
  <c r="AR36" i="10" s="1"/>
  <c r="AG36" i="10"/>
  <c r="AG1" i="10" s="1"/>
  <c r="AQ1" i="10" s="1"/>
  <c r="AR35" i="10"/>
  <c r="AP35" i="10"/>
  <c r="AP1" i="10" s="1"/>
  <c r="AO35" i="10"/>
  <c r="AS35" i="10" s="1"/>
  <c r="AG35" i="10"/>
  <c r="AQ35" i="10" s="1"/>
  <c r="AP34" i="10"/>
  <c r="AM34" i="10"/>
  <c r="AO34" i="10" s="1"/>
  <c r="AS34" i="10" s="1"/>
  <c r="AG34" i="10"/>
  <c r="AQ34" i="10" s="1"/>
  <c r="AQ33" i="10"/>
  <c r="AP33" i="10"/>
  <c r="AJ33" i="10"/>
  <c r="AG33" i="10"/>
  <c r="AR32" i="10"/>
  <c r="AQ32" i="10"/>
  <c r="AP32" i="10"/>
  <c r="AO32" i="10"/>
  <c r="AS32" i="10" s="1"/>
  <c r="AG32" i="10"/>
  <c r="AP31" i="10"/>
  <c r="AO31" i="10"/>
  <c r="AS31" i="10" s="1"/>
  <c r="AM31" i="10"/>
  <c r="AR31" i="10" s="1"/>
  <c r="AG31" i="10"/>
  <c r="AQ31" i="10" s="1"/>
  <c r="AR30" i="10"/>
  <c r="AO30" i="10"/>
  <c r="AS30" i="10" s="1"/>
  <c r="AN30" i="10"/>
  <c r="AP30" i="10" s="1"/>
  <c r="AG30" i="10"/>
  <c r="AQ30" i="10" s="1"/>
  <c r="AQ29" i="10"/>
  <c r="AP29" i="10"/>
  <c r="AN29" i="10"/>
  <c r="AM29" i="10"/>
  <c r="AG29" i="10"/>
  <c r="E29" i="10"/>
  <c r="AP28" i="10"/>
  <c r="AM28" i="10"/>
  <c r="AR28" i="10" s="1"/>
  <c r="AG28" i="10"/>
  <c r="AQ28" i="10" s="1"/>
  <c r="E28" i="10"/>
  <c r="AP27" i="10"/>
  <c r="AM27" i="10"/>
  <c r="AO27" i="10" s="1"/>
  <c r="AS27" i="10" s="1"/>
  <c r="AG27" i="10"/>
  <c r="AQ27" i="10" s="1"/>
  <c r="E27" i="10"/>
  <c r="AR26" i="10"/>
  <c r="AP26" i="10"/>
  <c r="AM26" i="10"/>
  <c r="AO26" i="10" s="1"/>
  <c r="AS26" i="10" s="1"/>
  <c r="AG26" i="10"/>
  <c r="AQ26" i="10" s="1"/>
  <c r="E26" i="10"/>
  <c r="AR25" i="10"/>
  <c r="AN25" i="10"/>
  <c r="AP25" i="10" s="1"/>
  <c r="AJ25" i="10"/>
  <c r="AM25" i="10" s="1"/>
  <c r="AO25" i="10" s="1"/>
  <c r="AI25" i="10"/>
  <c r="AG25" i="10"/>
  <c r="AQ25" i="10" s="1"/>
  <c r="AP24" i="10"/>
  <c r="AM24" i="10"/>
  <c r="AO24" i="10" s="1"/>
  <c r="AG24" i="10"/>
  <c r="AQ24" i="10" s="1"/>
  <c r="AQ23" i="10"/>
  <c r="AN23" i="10"/>
  <c r="AP23" i="10" s="1"/>
  <c r="AM23" i="10"/>
  <c r="AR23" i="10" s="1"/>
  <c r="AL23" i="10"/>
  <c r="AG23" i="10"/>
  <c r="AR22" i="10"/>
  <c r="AP22" i="10"/>
  <c r="AM22" i="10"/>
  <c r="AO22" i="10" s="1"/>
  <c r="AG22" i="10"/>
  <c r="AQ22" i="10" s="1"/>
  <c r="AS21" i="10"/>
  <c r="AP21" i="10"/>
  <c r="AO21" i="10"/>
  <c r="AM21" i="10"/>
  <c r="AR21" i="10" s="1"/>
  <c r="AG21" i="10"/>
  <c r="AQ21" i="10" s="1"/>
  <c r="AR20" i="10"/>
  <c r="AP20" i="10"/>
  <c r="AO20" i="10"/>
  <c r="AS20" i="10" s="1"/>
  <c r="AG20" i="10"/>
  <c r="AQ20" i="10" s="1"/>
  <c r="AO19" i="10"/>
  <c r="AN19" i="10"/>
  <c r="AR19" i="10" s="1"/>
  <c r="AM19" i="10"/>
  <c r="AG19" i="10"/>
  <c r="AQ19" i="10" s="1"/>
  <c r="AR18" i="10"/>
  <c r="AP18" i="10"/>
  <c r="AO18" i="10"/>
  <c r="AG18" i="10"/>
  <c r="AQ18" i="10" s="1"/>
  <c r="AR17" i="10"/>
  <c r="AP17" i="10"/>
  <c r="AM17" i="10"/>
  <c r="AO17" i="10" s="1"/>
  <c r="AG17" i="10"/>
  <c r="AQ17" i="10" s="1"/>
  <c r="AS16" i="10"/>
  <c r="AP16" i="10"/>
  <c r="AO16" i="10"/>
  <c r="AM16" i="10"/>
  <c r="AR16" i="10" s="1"/>
  <c r="AG16" i="10"/>
  <c r="AQ16" i="10" s="1"/>
  <c r="AP15" i="10"/>
  <c r="AO15" i="10"/>
  <c r="AS15" i="10" s="1"/>
  <c r="AM15" i="10"/>
  <c r="AR15" i="10" s="1"/>
  <c r="AG15" i="10"/>
  <c r="AQ15" i="10" s="1"/>
  <c r="AP14" i="10"/>
  <c r="AM14" i="10"/>
  <c r="AR14" i="10" s="1"/>
  <c r="AG14" i="10"/>
  <c r="AO14" i="10" s="1"/>
  <c r="AS14" i="10" s="1"/>
  <c r="AR13" i="10"/>
  <c r="AP13" i="10"/>
  <c r="AM13" i="10"/>
  <c r="AG13" i="10"/>
  <c r="AQ13" i="10" s="1"/>
  <c r="AS12" i="10"/>
  <c r="AP12" i="10"/>
  <c r="AO12" i="10"/>
  <c r="AM12" i="10"/>
  <c r="AR12" i="10" s="1"/>
  <c r="AG12" i="10"/>
  <c r="AQ12" i="10" s="1"/>
  <c r="AP11" i="10"/>
  <c r="AO11" i="10"/>
  <c r="AS11" i="10" s="1"/>
  <c r="AM11" i="10"/>
  <c r="AR11" i="10" s="1"/>
  <c r="AG11" i="10"/>
  <c r="AQ11" i="10" s="1"/>
  <c r="AP10" i="10"/>
  <c r="AM10" i="10"/>
  <c r="AR10" i="10" s="1"/>
  <c r="AG10" i="10"/>
  <c r="AO10" i="10" s="1"/>
  <c r="AS10" i="10" s="1"/>
  <c r="AP9" i="10"/>
  <c r="AM9" i="10"/>
  <c r="AR9" i="10" s="1"/>
  <c r="AG9" i="10"/>
  <c r="AQ9" i="10" s="1"/>
  <c r="AP8" i="10"/>
  <c r="AO8" i="10"/>
  <c r="AS8" i="10" s="1"/>
  <c r="AM8" i="10"/>
  <c r="AR8" i="10" s="1"/>
  <c r="AG8" i="10"/>
  <c r="AQ8" i="10" s="1"/>
  <c r="AR7" i="10"/>
  <c r="AP7" i="10"/>
  <c r="AO7" i="10"/>
  <c r="AM7" i="10"/>
  <c r="AG7" i="10"/>
  <c r="AQ7" i="10" s="1"/>
  <c r="AS6" i="10"/>
  <c r="AP6" i="10"/>
  <c r="AO6" i="10"/>
  <c r="AM6" i="10"/>
  <c r="AR6" i="10" s="1"/>
  <c r="AG6" i="10"/>
  <c r="AQ6" i="10" s="1"/>
  <c r="AP5" i="10"/>
  <c r="AM5" i="10"/>
  <c r="AO5" i="10" s="1"/>
  <c r="AS5" i="10" s="1"/>
  <c r="AG5" i="10"/>
  <c r="AQ5" i="10" s="1"/>
  <c r="AP4" i="10"/>
  <c r="AM4" i="10"/>
  <c r="AR4" i="10" s="1"/>
  <c r="AG4" i="10"/>
  <c r="AO4" i="10" s="1"/>
  <c r="AS4" i="10" s="1"/>
  <c r="AR3" i="10"/>
  <c r="AP3" i="10"/>
  <c r="AO3" i="10"/>
  <c r="AM3" i="10"/>
  <c r="AG3" i="10"/>
  <c r="AQ3" i="10" s="1"/>
  <c r="AN1" i="10"/>
  <c r="AL1" i="10"/>
  <c r="AK1" i="10"/>
  <c r="AI1" i="10"/>
  <c r="AH1" i="10"/>
  <c r="AF1" i="10"/>
  <c r="AE1" i="10"/>
  <c r="AD1" i="10"/>
  <c r="AC1" i="10"/>
  <c r="AB1" i="10"/>
  <c r="AA1" i="10"/>
  <c r="Z1" i="10"/>
  <c r="Y1" i="10"/>
  <c r="X1" i="10"/>
  <c r="W1" i="10"/>
  <c r="V1" i="10"/>
  <c r="U1" i="10"/>
  <c r="T1" i="10"/>
  <c r="AQ10" i="10" l="1"/>
  <c r="AQ36" i="10"/>
  <c r="AJ1" i="10"/>
  <c r="AM33" i="10"/>
  <c r="AS3" i="10"/>
  <c r="AR5" i="10"/>
  <c r="AP19" i="10"/>
  <c r="AO23" i="10"/>
  <c r="AS23" i="10" s="1"/>
  <c r="AS24" i="10"/>
  <c r="AS25" i="10"/>
  <c r="AR27" i="10"/>
  <c r="AO29" i="10"/>
  <c r="AS29" i="10" s="1"/>
  <c r="AR29" i="10"/>
  <c r="AS87" i="10"/>
  <c r="AR90" i="10"/>
  <c r="AS93" i="10"/>
  <c r="AR98" i="10"/>
  <c r="AS101" i="10"/>
  <c r="AR106" i="10"/>
  <c r="AO108" i="10"/>
  <c r="AS108" i="10" s="1"/>
  <c r="AR108" i="10"/>
  <c r="AQ4" i="10"/>
  <c r="AQ14" i="10"/>
  <c r="AS19" i="10"/>
  <c r="AS7" i="10"/>
  <c r="AS17" i="10"/>
  <c r="AS18" i="10"/>
  <c r="AS22" i="10"/>
  <c r="AR34" i="10"/>
  <c r="AR88" i="10"/>
  <c r="AS91" i="10"/>
  <c r="AR96" i="10"/>
  <c r="AS99" i="10"/>
  <c r="AR104" i="10"/>
  <c r="AS107" i="10"/>
  <c r="AR110" i="10"/>
  <c r="AR112" i="10"/>
  <c r="AR114" i="10"/>
  <c r="AR118" i="10"/>
  <c r="AO9" i="10"/>
  <c r="AS9" i="10" s="1"/>
  <c r="AO13" i="10"/>
  <c r="AS13" i="10" s="1"/>
  <c r="AO28" i="10"/>
  <c r="AS28" i="10" s="1"/>
  <c r="AR24" i="10"/>
  <c r="AR38" i="10"/>
  <c r="AR87" i="10"/>
  <c r="AR89" i="10"/>
  <c r="AR91" i="10"/>
  <c r="AR93" i="10"/>
  <c r="AR95" i="10"/>
  <c r="AR97" i="10"/>
  <c r="AR99" i="10"/>
  <c r="AR101" i="10"/>
  <c r="AR103" i="10"/>
  <c r="AR105" i="10"/>
  <c r="AR107" i="10"/>
  <c r="AR109" i="10"/>
  <c r="AR111" i="10"/>
  <c r="AR113" i="10"/>
  <c r="AR116" i="10"/>
  <c r="AR120" i="10"/>
  <c r="AO33" i="10" l="1"/>
  <c r="AR33" i="10"/>
  <c r="AM1" i="10"/>
  <c r="AR1" i="10" s="1"/>
  <c r="AS33" i="10" l="1"/>
  <c r="AO1" i="10"/>
  <c r="AS1" i="10" s="1"/>
  <c r="M6" i="8" l="1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5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G4" i="8"/>
  <c r="F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4" i="8"/>
  <c r="A7" i="8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6" i="8"/>
  <c r="A5" i="8"/>
  <c r="C14" i="6"/>
  <c r="B14" i="6"/>
  <c r="C4" i="6"/>
  <c r="C5" i="6"/>
  <c r="C6" i="6"/>
  <c r="C7" i="6"/>
  <c r="C8" i="6"/>
  <c r="C9" i="6"/>
  <c r="C10" i="6"/>
  <c r="C11" i="6"/>
  <c r="C12" i="6"/>
  <c r="C13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" i="6"/>
  <c r="B4" i="6"/>
  <c r="B5" i="6"/>
  <c r="B6" i="6"/>
  <c r="B7" i="6"/>
  <c r="B8" i="6"/>
  <c r="B9" i="6"/>
  <c r="B10" i="6"/>
  <c r="B11" i="6"/>
  <c r="B12" i="6"/>
  <c r="B13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" i="6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4" i="5"/>
  <c r="F2" i="3"/>
  <c r="R61" i="1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4" i="5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C18" i="3" l="1"/>
  <c r="H2" i="3"/>
  <c r="I2" i="3"/>
  <c r="J2" i="3"/>
  <c r="K2" i="3"/>
  <c r="L2" i="3"/>
  <c r="M2" i="3"/>
  <c r="N2" i="3"/>
  <c r="O2" i="3"/>
  <c r="P2" i="3"/>
  <c r="Q2" i="3"/>
  <c r="R2" i="3"/>
  <c r="H3" i="3"/>
  <c r="I3" i="3"/>
  <c r="J3" i="3"/>
  <c r="K3" i="3"/>
  <c r="L3" i="3"/>
  <c r="M3" i="3"/>
  <c r="N3" i="3"/>
  <c r="O3" i="3"/>
  <c r="P3" i="3"/>
  <c r="Q3" i="3"/>
  <c r="R3" i="3"/>
  <c r="H4" i="3"/>
  <c r="I4" i="3"/>
  <c r="J4" i="3"/>
  <c r="K4" i="3"/>
  <c r="L4" i="3"/>
  <c r="M4" i="3"/>
  <c r="N4" i="3"/>
  <c r="O4" i="3"/>
  <c r="P4" i="3"/>
  <c r="Q4" i="3"/>
  <c r="R4" i="3"/>
  <c r="H5" i="3"/>
  <c r="I5" i="3"/>
  <c r="J5" i="3"/>
  <c r="K5" i="3"/>
  <c r="L5" i="3"/>
  <c r="M5" i="3"/>
  <c r="N5" i="3"/>
  <c r="O5" i="3"/>
  <c r="P5" i="3"/>
  <c r="Q5" i="3"/>
  <c r="R5" i="3"/>
  <c r="H6" i="3"/>
  <c r="I6" i="3"/>
  <c r="J6" i="3"/>
  <c r="K6" i="3"/>
  <c r="L6" i="3"/>
  <c r="M6" i="3"/>
  <c r="N6" i="3"/>
  <c r="O6" i="3"/>
  <c r="P6" i="3"/>
  <c r="Q6" i="3"/>
  <c r="R6" i="3"/>
  <c r="H7" i="3"/>
  <c r="I7" i="3"/>
  <c r="J7" i="3"/>
  <c r="K7" i="3"/>
  <c r="L7" i="3"/>
  <c r="M7" i="3"/>
  <c r="N7" i="3"/>
  <c r="O7" i="3"/>
  <c r="P7" i="3"/>
  <c r="Q7" i="3"/>
  <c r="R7" i="3"/>
  <c r="H8" i="3"/>
  <c r="I8" i="3"/>
  <c r="J8" i="3"/>
  <c r="K8" i="3"/>
  <c r="L8" i="3"/>
  <c r="M8" i="3"/>
  <c r="N8" i="3"/>
  <c r="O8" i="3"/>
  <c r="P8" i="3"/>
  <c r="Q8" i="3"/>
  <c r="R8" i="3"/>
  <c r="H9" i="3"/>
  <c r="I9" i="3"/>
  <c r="J9" i="3"/>
  <c r="K9" i="3"/>
  <c r="L9" i="3"/>
  <c r="M9" i="3"/>
  <c r="N9" i="3"/>
  <c r="O9" i="3"/>
  <c r="P9" i="3"/>
  <c r="Q9" i="3"/>
  <c r="R9" i="3"/>
  <c r="H10" i="3"/>
  <c r="I10" i="3"/>
  <c r="J10" i="3"/>
  <c r="K10" i="3"/>
  <c r="L10" i="3"/>
  <c r="M10" i="3"/>
  <c r="N10" i="3"/>
  <c r="O10" i="3"/>
  <c r="P10" i="3"/>
  <c r="Q10" i="3"/>
  <c r="R10" i="3"/>
  <c r="H11" i="3"/>
  <c r="I11" i="3"/>
  <c r="J11" i="3"/>
  <c r="K11" i="3"/>
  <c r="L11" i="3"/>
  <c r="M11" i="3"/>
  <c r="N11" i="3"/>
  <c r="O11" i="3"/>
  <c r="P11" i="3"/>
  <c r="Q11" i="3"/>
  <c r="R11" i="3"/>
  <c r="H12" i="3"/>
  <c r="I12" i="3"/>
  <c r="J12" i="3"/>
  <c r="K12" i="3"/>
  <c r="L12" i="3"/>
  <c r="M12" i="3"/>
  <c r="N12" i="3"/>
  <c r="O12" i="3"/>
  <c r="P12" i="3"/>
  <c r="Q12" i="3"/>
  <c r="R12" i="3"/>
  <c r="H13" i="3"/>
  <c r="I13" i="3"/>
  <c r="J13" i="3"/>
  <c r="K13" i="3"/>
  <c r="L13" i="3"/>
  <c r="M13" i="3"/>
  <c r="N13" i="3"/>
  <c r="O13" i="3"/>
  <c r="P13" i="3"/>
  <c r="Q13" i="3"/>
  <c r="R13" i="3"/>
  <c r="H14" i="3"/>
  <c r="I14" i="3"/>
  <c r="J14" i="3"/>
  <c r="K14" i="3"/>
  <c r="L14" i="3"/>
  <c r="M14" i="3"/>
  <c r="N14" i="3"/>
  <c r="O14" i="3"/>
  <c r="P14" i="3"/>
  <c r="Q14" i="3"/>
  <c r="R14" i="3"/>
  <c r="H15" i="3"/>
  <c r="I15" i="3"/>
  <c r="J15" i="3"/>
  <c r="K15" i="3"/>
  <c r="L15" i="3"/>
  <c r="M15" i="3"/>
  <c r="N15" i="3"/>
  <c r="O15" i="3"/>
  <c r="P15" i="3"/>
  <c r="Q15" i="3"/>
  <c r="R15" i="3"/>
  <c r="H16" i="3"/>
  <c r="I16" i="3"/>
  <c r="J16" i="3"/>
  <c r="K16" i="3"/>
  <c r="L16" i="3"/>
  <c r="M16" i="3"/>
  <c r="N16" i="3"/>
  <c r="O16" i="3"/>
  <c r="P16" i="3"/>
  <c r="Q16" i="3"/>
  <c r="R16" i="3"/>
  <c r="H17" i="3"/>
  <c r="I17" i="3"/>
  <c r="J17" i="3"/>
  <c r="K17" i="3"/>
  <c r="L17" i="3"/>
  <c r="M17" i="3"/>
  <c r="N17" i="3"/>
  <c r="O17" i="3"/>
  <c r="P17" i="3"/>
  <c r="Q17" i="3"/>
  <c r="R17" i="3"/>
  <c r="H18" i="3"/>
  <c r="I18" i="3"/>
  <c r="J18" i="3"/>
  <c r="K18" i="3"/>
  <c r="L18" i="3"/>
  <c r="M18" i="3"/>
  <c r="N18" i="3"/>
  <c r="O18" i="3"/>
  <c r="P18" i="3"/>
  <c r="Q18" i="3"/>
  <c r="R18" i="3"/>
  <c r="H19" i="3"/>
  <c r="I19" i="3"/>
  <c r="J19" i="3"/>
  <c r="K19" i="3"/>
  <c r="L19" i="3"/>
  <c r="M19" i="3"/>
  <c r="N19" i="3"/>
  <c r="O19" i="3"/>
  <c r="P19" i="3"/>
  <c r="Q19" i="3"/>
  <c r="R19" i="3"/>
  <c r="H20" i="3"/>
  <c r="I20" i="3"/>
  <c r="J20" i="3"/>
  <c r="K20" i="3"/>
  <c r="L20" i="3"/>
  <c r="M20" i="3"/>
  <c r="N20" i="3"/>
  <c r="O20" i="3"/>
  <c r="P20" i="3"/>
  <c r="Q20" i="3"/>
  <c r="R20" i="3"/>
  <c r="H21" i="3"/>
  <c r="I21" i="3"/>
  <c r="J21" i="3"/>
  <c r="K21" i="3"/>
  <c r="L21" i="3"/>
  <c r="M21" i="3"/>
  <c r="N21" i="3"/>
  <c r="O21" i="3"/>
  <c r="P21" i="3"/>
  <c r="Q21" i="3"/>
  <c r="R21" i="3"/>
  <c r="H22" i="3"/>
  <c r="I22" i="3"/>
  <c r="J22" i="3"/>
  <c r="K22" i="3"/>
  <c r="L22" i="3"/>
  <c r="M22" i="3"/>
  <c r="N22" i="3"/>
  <c r="O22" i="3"/>
  <c r="P22" i="3"/>
  <c r="Q22" i="3"/>
  <c r="R22" i="3"/>
  <c r="H23" i="3"/>
  <c r="I23" i="3"/>
  <c r="J23" i="3"/>
  <c r="K23" i="3"/>
  <c r="L23" i="3"/>
  <c r="M23" i="3"/>
  <c r="N23" i="3"/>
  <c r="O23" i="3"/>
  <c r="P23" i="3"/>
  <c r="Q23" i="3"/>
  <c r="R23" i="3"/>
  <c r="H24" i="3"/>
  <c r="I24" i="3"/>
  <c r="J24" i="3"/>
  <c r="K24" i="3"/>
  <c r="L24" i="3"/>
  <c r="M24" i="3"/>
  <c r="N24" i="3"/>
  <c r="O24" i="3"/>
  <c r="P24" i="3"/>
  <c r="Q24" i="3"/>
  <c r="R24" i="3"/>
  <c r="H25" i="3"/>
  <c r="I25" i="3"/>
  <c r="J25" i="3"/>
  <c r="K25" i="3"/>
  <c r="L25" i="3"/>
  <c r="M25" i="3"/>
  <c r="N25" i="3"/>
  <c r="O25" i="3"/>
  <c r="P25" i="3"/>
  <c r="Q25" i="3"/>
  <c r="R25" i="3"/>
  <c r="H26" i="3"/>
  <c r="I26" i="3"/>
  <c r="J26" i="3"/>
  <c r="K26" i="3"/>
  <c r="L26" i="3"/>
  <c r="M26" i="3"/>
  <c r="N26" i="3"/>
  <c r="O26" i="3"/>
  <c r="P26" i="3"/>
  <c r="Q26" i="3"/>
  <c r="R26" i="3"/>
  <c r="H27" i="3"/>
  <c r="I27" i="3"/>
  <c r="J27" i="3"/>
  <c r="K27" i="3"/>
  <c r="L27" i="3"/>
  <c r="M27" i="3"/>
  <c r="N27" i="3"/>
  <c r="O27" i="3"/>
  <c r="P27" i="3"/>
  <c r="Q27" i="3"/>
  <c r="R27" i="3"/>
  <c r="H28" i="3"/>
  <c r="I28" i="3"/>
  <c r="J28" i="3"/>
  <c r="K28" i="3"/>
  <c r="L28" i="3"/>
  <c r="M28" i="3"/>
  <c r="N28" i="3"/>
  <c r="O28" i="3"/>
  <c r="P28" i="3"/>
  <c r="Q28" i="3"/>
  <c r="R28" i="3"/>
  <c r="H29" i="3"/>
  <c r="I29" i="3"/>
  <c r="J29" i="3"/>
  <c r="K29" i="3"/>
  <c r="L29" i="3"/>
  <c r="M29" i="3"/>
  <c r="N29" i="3"/>
  <c r="O29" i="3"/>
  <c r="P29" i="3"/>
  <c r="Q29" i="3"/>
  <c r="R29" i="3"/>
  <c r="H30" i="3"/>
  <c r="I30" i="3"/>
  <c r="J30" i="3"/>
  <c r="K30" i="3"/>
  <c r="L30" i="3"/>
  <c r="M30" i="3"/>
  <c r="N30" i="3"/>
  <c r="O30" i="3"/>
  <c r="P30" i="3"/>
  <c r="Q30" i="3"/>
  <c r="R30" i="3"/>
  <c r="H31" i="3"/>
  <c r="I31" i="3"/>
  <c r="J31" i="3"/>
  <c r="K31" i="3"/>
  <c r="L31" i="3"/>
  <c r="M31" i="3"/>
  <c r="N31" i="3"/>
  <c r="O31" i="3"/>
  <c r="P31" i="3"/>
  <c r="Q31" i="3"/>
  <c r="R31" i="3"/>
  <c r="H32" i="3"/>
  <c r="I32" i="3"/>
  <c r="J32" i="3"/>
  <c r="K32" i="3"/>
  <c r="L32" i="3"/>
  <c r="M32" i="3"/>
  <c r="N32" i="3"/>
  <c r="O32" i="3"/>
  <c r="P32" i="3"/>
  <c r="Q32" i="3"/>
  <c r="R32" i="3"/>
  <c r="H33" i="3"/>
  <c r="I33" i="3"/>
  <c r="J33" i="3"/>
  <c r="K33" i="3"/>
  <c r="L33" i="3"/>
  <c r="M33" i="3"/>
  <c r="N33" i="3"/>
  <c r="O33" i="3"/>
  <c r="P33" i="3"/>
  <c r="Q33" i="3"/>
  <c r="R33" i="3"/>
  <c r="H34" i="3"/>
  <c r="I34" i="3"/>
  <c r="J34" i="3"/>
  <c r="K34" i="3"/>
  <c r="L34" i="3"/>
  <c r="M34" i="3"/>
  <c r="N34" i="3"/>
  <c r="O34" i="3"/>
  <c r="P34" i="3"/>
  <c r="Q34" i="3"/>
  <c r="R34" i="3"/>
  <c r="H35" i="3"/>
  <c r="I35" i="3"/>
  <c r="J35" i="3"/>
  <c r="K35" i="3"/>
  <c r="L35" i="3"/>
  <c r="M35" i="3"/>
  <c r="N35" i="3"/>
  <c r="O35" i="3"/>
  <c r="P35" i="3"/>
  <c r="Q35" i="3"/>
  <c r="R35" i="3"/>
  <c r="H36" i="3"/>
  <c r="I36" i="3"/>
  <c r="J36" i="3"/>
  <c r="K36" i="3"/>
  <c r="L36" i="3"/>
  <c r="M36" i="3"/>
  <c r="N36" i="3"/>
  <c r="O36" i="3"/>
  <c r="P36" i="3"/>
  <c r="Q36" i="3"/>
  <c r="R36" i="3"/>
  <c r="H37" i="3"/>
  <c r="I37" i="3"/>
  <c r="J37" i="3"/>
  <c r="K37" i="3"/>
  <c r="L37" i="3"/>
  <c r="M37" i="3"/>
  <c r="N37" i="3"/>
  <c r="O37" i="3"/>
  <c r="P37" i="3"/>
  <c r="Q37" i="3"/>
  <c r="R37" i="3"/>
  <c r="H38" i="3"/>
  <c r="I38" i="3"/>
  <c r="J38" i="3"/>
  <c r="K38" i="3"/>
  <c r="L38" i="3"/>
  <c r="M38" i="3"/>
  <c r="N38" i="3"/>
  <c r="O38" i="3"/>
  <c r="P38" i="3"/>
  <c r="Q38" i="3"/>
  <c r="R38" i="3"/>
  <c r="H39" i="3"/>
  <c r="I39" i="3"/>
  <c r="J39" i="3"/>
  <c r="K39" i="3"/>
  <c r="L39" i="3"/>
  <c r="M39" i="3"/>
  <c r="N39" i="3"/>
  <c r="O39" i="3"/>
  <c r="P39" i="3"/>
  <c r="Q39" i="3"/>
  <c r="R39" i="3"/>
  <c r="H40" i="3"/>
  <c r="I40" i="3"/>
  <c r="J40" i="3"/>
  <c r="K40" i="3"/>
  <c r="L40" i="3"/>
  <c r="M40" i="3"/>
  <c r="N40" i="3"/>
  <c r="O40" i="3"/>
  <c r="P40" i="3"/>
  <c r="Q40" i="3"/>
  <c r="R40" i="3"/>
  <c r="H41" i="3"/>
  <c r="I41" i="3"/>
  <c r="J41" i="3"/>
  <c r="K41" i="3"/>
  <c r="L41" i="3"/>
  <c r="M41" i="3"/>
  <c r="N41" i="3"/>
  <c r="O41" i="3"/>
  <c r="P41" i="3"/>
  <c r="Q41" i="3"/>
  <c r="R41" i="3"/>
  <c r="H42" i="3"/>
  <c r="I42" i="3"/>
  <c r="J42" i="3"/>
  <c r="K42" i="3"/>
  <c r="L42" i="3"/>
  <c r="M42" i="3"/>
  <c r="N42" i="3"/>
  <c r="O42" i="3"/>
  <c r="P42" i="3"/>
  <c r="Q42" i="3"/>
  <c r="R42" i="3"/>
  <c r="H43" i="3"/>
  <c r="I43" i="3"/>
  <c r="J43" i="3"/>
  <c r="K43" i="3"/>
  <c r="L43" i="3"/>
  <c r="M43" i="3"/>
  <c r="N43" i="3"/>
  <c r="O43" i="3"/>
  <c r="P43" i="3"/>
  <c r="Q43" i="3"/>
  <c r="R43" i="3"/>
  <c r="H44" i="3"/>
  <c r="I44" i="3"/>
  <c r="J44" i="3"/>
  <c r="K44" i="3"/>
  <c r="L44" i="3"/>
  <c r="M44" i="3"/>
  <c r="N44" i="3"/>
  <c r="O44" i="3"/>
  <c r="P44" i="3"/>
  <c r="Q44" i="3"/>
  <c r="R44" i="3"/>
  <c r="H45" i="3"/>
  <c r="I45" i="3"/>
  <c r="J45" i="3"/>
  <c r="K45" i="3"/>
  <c r="L45" i="3"/>
  <c r="M45" i="3"/>
  <c r="N45" i="3"/>
  <c r="O45" i="3"/>
  <c r="P45" i="3"/>
  <c r="Q45" i="3"/>
  <c r="R45" i="3"/>
  <c r="H46" i="3"/>
  <c r="I46" i="3"/>
  <c r="J46" i="3"/>
  <c r="K46" i="3"/>
  <c r="L46" i="3"/>
  <c r="M46" i="3"/>
  <c r="N46" i="3"/>
  <c r="O46" i="3"/>
  <c r="P46" i="3"/>
  <c r="Q46" i="3"/>
  <c r="R46" i="3"/>
  <c r="H47" i="3"/>
  <c r="I47" i="3"/>
  <c r="J47" i="3"/>
  <c r="K47" i="3"/>
  <c r="L47" i="3"/>
  <c r="M47" i="3"/>
  <c r="N47" i="3"/>
  <c r="O47" i="3"/>
  <c r="P47" i="3"/>
  <c r="Q47" i="3"/>
  <c r="R47" i="3"/>
  <c r="H48" i="3"/>
  <c r="I48" i="3"/>
  <c r="J48" i="3"/>
  <c r="K48" i="3"/>
  <c r="L48" i="3"/>
  <c r="M48" i="3"/>
  <c r="N48" i="3"/>
  <c r="O48" i="3"/>
  <c r="P48" i="3"/>
  <c r="Q48" i="3"/>
  <c r="R48" i="3"/>
  <c r="H49" i="3"/>
  <c r="I49" i="3"/>
  <c r="J49" i="3"/>
  <c r="K49" i="3"/>
  <c r="L49" i="3"/>
  <c r="M49" i="3"/>
  <c r="N49" i="3"/>
  <c r="O49" i="3"/>
  <c r="P49" i="3"/>
  <c r="Q49" i="3"/>
  <c r="R49" i="3"/>
  <c r="H50" i="3"/>
  <c r="I50" i="3"/>
  <c r="J50" i="3"/>
  <c r="K50" i="3"/>
  <c r="L50" i="3"/>
  <c r="M50" i="3"/>
  <c r="N50" i="3"/>
  <c r="O50" i="3"/>
  <c r="P50" i="3"/>
  <c r="Q50" i="3"/>
  <c r="R50" i="3"/>
  <c r="H51" i="3"/>
  <c r="I51" i="3"/>
  <c r="J51" i="3"/>
  <c r="K51" i="3"/>
  <c r="L51" i="3"/>
  <c r="M51" i="3"/>
  <c r="N51" i="3"/>
  <c r="O51" i="3"/>
  <c r="P51" i="3"/>
  <c r="Q51" i="3"/>
  <c r="R51" i="3"/>
  <c r="H52" i="3"/>
  <c r="I52" i="3"/>
  <c r="J52" i="3"/>
  <c r="K52" i="3"/>
  <c r="L52" i="3"/>
  <c r="M52" i="3"/>
  <c r="N52" i="3"/>
  <c r="O52" i="3"/>
  <c r="P52" i="3"/>
  <c r="Q52" i="3"/>
  <c r="R52" i="3"/>
  <c r="H53" i="3"/>
  <c r="I53" i="3"/>
  <c r="J53" i="3"/>
  <c r="K53" i="3"/>
  <c r="L53" i="3"/>
  <c r="M53" i="3"/>
  <c r="N53" i="3"/>
  <c r="O53" i="3"/>
  <c r="P53" i="3"/>
  <c r="Q53" i="3"/>
  <c r="R53" i="3"/>
  <c r="H54" i="3"/>
  <c r="I54" i="3"/>
  <c r="J54" i="3"/>
  <c r="K54" i="3"/>
  <c r="L54" i="3"/>
  <c r="M54" i="3"/>
  <c r="N54" i="3"/>
  <c r="O54" i="3"/>
  <c r="P54" i="3"/>
  <c r="Q54" i="3"/>
  <c r="R54" i="3"/>
  <c r="H55" i="3"/>
  <c r="I55" i="3"/>
  <c r="J55" i="3"/>
  <c r="K55" i="3"/>
  <c r="L55" i="3"/>
  <c r="M55" i="3"/>
  <c r="N55" i="3"/>
  <c r="O55" i="3"/>
  <c r="P55" i="3"/>
  <c r="Q55" i="3"/>
  <c r="R55" i="3"/>
  <c r="H56" i="3"/>
  <c r="I56" i="3"/>
  <c r="J56" i="3"/>
  <c r="K56" i="3"/>
  <c r="L56" i="3"/>
  <c r="M56" i="3"/>
  <c r="N56" i="3"/>
  <c r="O56" i="3"/>
  <c r="P56" i="3"/>
  <c r="Q56" i="3"/>
  <c r="R56" i="3"/>
  <c r="H57" i="3"/>
  <c r="I57" i="3"/>
  <c r="J57" i="3"/>
  <c r="K57" i="3"/>
  <c r="L57" i="3"/>
  <c r="M57" i="3"/>
  <c r="N57" i="3"/>
  <c r="O57" i="3"/>
  <c r="P57" i="3"/>
  <c r="Q57" i="3"/>
  <c r="R57" i="3"/>
  <c r="H58" i="3"/>
  <c r="I58" i="3"/>
  <c r="J58" i="3"/>
  <c r="K58" i="3"/>
  <c r="L58" i="3"/>
  <c r="M58" i="3"/>
  <c r="N58" i="3"/>
  <c r="O58" i="3"/>
  <c r="P58" i="3"/>
  <c r="Q58" i="3"/>
  <c r="R58" i="3"/>
  <c r="H59" i="3"/>
  <c r="I59" i="3"/>
  <c r="J59" i="3"/>
  <c r="K59" i="3"/>
  <c r="L59" i="3"/>
  <c r="M59" i="3"/>
  <c r="N59" i="3"/>
  <c r="O59" i="3"/>
  <c r="P59" i="3"/>
  <c r="Q59" i="3"/>
  <c r="R59" i="3"/>
  <c r="H60" i="3"/>
  <c r="I60" i="3"/>
  <c r="J60" i="3"/>
  <c r="K60" i="3"/>
  <c r="L60" i="3"/>
  <c r="M60" i="3"/>
  <c r="N60" i="3"/>
  <c r="O60" i="3"/>
  <c r="P60" i="3"/>
  <c r="Q60" i="3"/>
  <c r="R60" i="3"/>
  <c r="H61" i="3"/>
  <c r="I61" i="3"/>
  <c r="J61" i="3"/>
  <c r="K61" i="3"/>
  <c r="L61" i="3"/>
  <c r="M61" i="3"/>
  <c r="N61" i="3"/>
  <c r="O61" i="3"/>
  <c r="P61" i="3"/>
  <c r="Q61" i="3"/>
  <c r="R61" i="3"/>
  <c r="H62" i="3"/>
  <c r="I62" i="3"/>
  <c r="J62" i="3"/>
  <c r="K62" i="3"/>
  <c r="L62" i="3"/>
  <c r="M62" i="3"/>
  <c r="N62" i="3"/>
  <c r="O62" i="3"/>
  <c r="P62" i="3"/>
  <c r="Q62" i="3"/>
  <c r="R62" i="3"/>
  <c r="H63" i="3"/>
  <c r="I63" i="3"/>
  <c r="J63" i="3"/>
  <c r="K63" i="3"/>
  <c r="L63" i="3"/>
  <c r="M63" i="3"/>
  <c r="N63" i="3"/>
  <c r="O63" i="3"/>
  <c r="P63" i="3"/>
  <c r="Q63" i="3"/>
  <c r="R63" i="3"/>
  <c r="H64" i="3"/>
  <c r="I64" i="3"/>
  <c r="J64" i="3"/>
  <c r="K64" i="3"/>
  <c r="L64" i="3"/>
  <c r="M64" i="3"/>
  <c r="N64" i="3"/>
  <c r="O64" i="3"/>
  <c r="P64" i="3"/>
  <c r="Q64" i="3"/>
  <c r="R64" i="3"/>
  <c r="H65" i="3"/>
  <c r="I65" i="3"/>
  <c r="J65" i="3"/>
  <c r="K65" i="3"/>
  <c r="L65" i="3"/>
  <c r="M65" i="3"/>
  <c r="N65" i="3"/>
  <c r="O65" i="3"/>
  <c r="P65" i="3"/>
  <c r="Q65" i="3"/>
  <c r="R65" i="3"/>
  <c r="H66" i="3"/>
  <c r="I66" i="3"/>
  <c r="J66" i="3"/>
  <c r="K66" i="3"/>
  <c r="L66" i="3"/>
  <c r="M66" i="3"/>
  <c r="N66" i="3"/>
  <c r="O66" i="3"/>
  <c r="P66" i="3"/>
  <c r="Q66" i="3"/>
  <c r="R66" i="3"/>
  <c r="H67" i="3"/>
  <c r="I67" i="3"/>
  <c r="J67" i="3"/>
  <c r="K67" i="3"/>
  <c r="L67" i="3"/>
  <c r="M67" i="3"/>
  <c r="N67" i="3"/>
  <c r="O67" i="3"/>
  <c r="P67" i="3"/>
  <c r="Q67" i="3"/>
  <c r="R67" i="3"/>
  <c r="H68" i="3"/>
  <c r="I68" i="3"/>
  <c r="J68" i="3"/>
  <c r="K68" i="3"/>
  <c r="L68" i="3"/>
  <c r="M68" i="3"/>
  <c r="N68" i="3"/>
  <c r="O68" i="3"/>
  <c r="P68" i="3"/>
  <c r="Q68" i="3"/>
  <c r="R68" i="3"/>
  <c r="H69" i="3"/>
  <c r="I69" i="3"/>
  <c r="J69" i="3"/>
  <c r="K69" i="3"/>
  <c r="L69" i="3"/>
  <c r="M69" i="3"/>
  <c r="N69" i="3"/>
  <c r="O69" i="3"/>
  <c r="P69" i="3"/>
  <c r="Q69" i="3"/>
  <c r="R69" i="3"/>
  <c r="H70" i="3"/>
  <c r="I70" i="3"/>
  <c r="J70" i="3"/>
  <c r="K70" i="3"/>
  <c r="L70" i="3"/>
  <c r="M70" i="3"/>
  <c r="N70" i="3"/>
  <c r="O70" i="3"/>
  <c r="P70" i="3"/>
  <c r="Q70" i="3"/>
  <c r="R70" i="3"/>
  <c r="H71" i="3"/>
  <c r="I71" i="3"/>
  <c r="J71" i="3"/>
  <c r="K71" i="3"/>
  <c r="L71" i="3"/>
  <c r="M71" i="3"/>
  <c r="N71" i="3"/>
  <c r="O71" i="3"/>
  <c r="P71" i="3"/>
  <c r="Q71" i="3"/>
  <c r="R71" i="3"/>
  <c r="H72" i="3"/>
  <c r="I72" i="3"/>
  <c r="J72" i="3"/>
  <c r="K72" i="3"/>
  <c r="L72" i="3"/>
  <c r="M72" i="3"/>
  <c r="N72" i="3"/>
  <c r="O72" i="3"/>
  <c r="P72" i="3"/>
  <c r="Q72" i="3"/>
  <c r="R72" i="3"/>
  <c r="H73" i="3"/>
  <c r="I73" i="3"/>
  <c r="J73" i="3"/>
  <c r="K73" i="3"/>
  <c r="L73" i="3"/>
  <c r="M73" i="3"/>
  <c r="N73" i="3"/>
  <c r="O73" i="3"/>
  <c r="P73" i="3"/>
  <c r="Q73" i="3"/>
  <c r="R73" i="3"/>
  <c r="H74" i="3"/>
  <c r="I74" i="3"/>
  <c r="J74" i="3"/>
  <c r="K74" i="3"/>
  <c r="L74" i="3"/>
  <c r="M74" i="3"/>
  <c r="N74" i="3"/>
  <c r="O74" i="3"/>
  <c r="P74" i="3"/>
  <c r="Q74" i="3"/>
  <c r="R74" i="3"/>
  <c r="H75" i="3"/>
  <c r="I75" i="3"/>
  <c r="J75" i="3"/>
  <c r="K75" i="3"/>
  <c r="L75" i="3"/>
  <c r="M75" i="3"/>
  <c r="N75" i="3"/>
  <c r="O75" i="3"/>
  <c r="P75" i="3"/>
  <c r="Q75" i="3"/>
  <c r="R75" i="3"/>
  <c r="H76" i="3"/>
  <c r="I76" i="3"/>
  <c r="J76" i="3"/>
  <c r="K76" i="3"/>
  <c r="L76" i="3"/>
  <c r="M76" i="3"/>
  <c r="N76" i="3"/>
  <c r="O76" i="3"/>
  <c r="P76" i="3"/>
  <c r="Q76" i="3"/>
  <c r="R76" i="3"/>
  <c r="H77" i="3"/>
  <c r="I77" i="3"/>
  <c r="J77" i="3"/>
  <c r="K77" i="3"/>
  <c r="L77" i="3"/>
  <c r="M77" i="3"/>
  <c r="N77" i="3"/>
  <c r="O77" i="3"/>
  <c r="P77" i="3"/>
  <c r="Q77" i="3"/>
  <c r="R77" i="3"/>
  <c r="H78" i="3"/>
  <c r="I78" i="3"/>
  <c r="J78" i="3"/>
  <c r="K78" i="3"/>
  <c r="L78" i="3"/>
  <c r="M78" i="3"/>
  <c r="N78" i="3"/>
  <c r="O78" i="3"/>
  <c r="P78" i="3"/>
  <c r="Q78" i="3"/>
  <c r="R78" i="3"/>
  <c r="H79" i="3"/>
  <c r="I79" i="3"/>
  <c r="J79" i="3"/>
  <c r="K79" i="3"/>
  <c r="L79" i="3"/>
  <c r="M79" i="3"/>
  <c r="N79" i="3"/>
  <c r="O79" i="3"/>
  <c r="P79" i="3"/>
  <c r="Q79" i="3"/>
  <c r="R79" i="3"/>
  <c r="H80" i="3"/>
  <c r="I80" i="3"/>
  <c r="J80" i="3"/>
  <c r="K80" i="3"/>
  <c r="L80" i="3"/>
  <c r="M80" i="3"/>
  <c r="N80" i="3"/>
  <c r="O80" i="3"/>
  <c r="P80" i="3"/>
  <c r="Q80" i="3"/>
  <c r="R80" i="3"/>
  <c r="H81" i="3"/>
  <c r="I81" i="3"/>
  <c r="J81" i="3"/>
  <c r="K81" i="3"/>
  <c r="L81" i="3"/>
  <c r="M81" i="3"/>
  <c r="N81" i="3"/>
  <c r="O81" i="3"/>
  <c r="P81" i="3"/>
  <c r="Q81" i="3"/>
  <c r="R81" i="3"/>
  <c r="H82" i="3"/>
  <c r="I82" i="3"/>
  <c r="J82" i="3"/>
  <c r="K82" i="3"/>
  <c r="L82" i="3"/>
  <c r="M82" i="3"/>
  <c r="N82" i="3"/>
  <c r="O82" i="3"/>
  <c r="P82" i="3"/>
  <c r="Q82" i="3"/>
  <c r="R82" i="3"/>
  <c r="H83" i="3"/>
  <c r="I83" i="3"/>
  <c r="J83" i="3"/>
  <c r="K83" i="3"/>
  <c r="L83" i="3"/>
  <c r="M83" i="3"/>
  <c r="N83" i="3"/>
  <c r="O83" i="3"/>
  <c r="P83" i="3"/>
  <c r="Q83" i="3"/>
  <c r="R83" i="3"/>
  <c r="H84" i="3"/>
  <c r="I84" i="3"/>
  <c r="J84" i="3"/>
  <c r="K84" i="3"/>
  <c r="L84" i="3"/>
  <c r="M84" i="3"/>
  <c r="N84" i="3"/>
  <c r="O84" i="3"/>
  <c r="P84" i="3"/>
  <c r="Q84" i="3"/>
  <c r="R84" i="3"/>
  <c r="H85" i="3"/>
  <c r="I85" i="3"/>
  <c r="J85" i="3"/>
  <c r="K85" i="3"/>
  <c r="L85" i="3"/>
  <c r="M85" i="3"/>
  <c r="N85" i="3"/>
  <c r="O85" i="3"/>
  <c r="P85" i="3"/>
  <c r="Q85" i="3"/>
  <c r="R85" i="3"/>
  <c r="H86" i="3"/>
  <c r="I86" i="3"/>
  <c r="J86" i="3"/>
  <c r="K86" i="3"/>
  <c r="L86" i="3"/>
  <c r="M86" i="3"/>
  <c r="N86" i="3"/>
  <c r="O86" i="3"/>
  <c r="P86" i="3"/>
  <c r="Q86" i="3"/>
  <c r="R86" i="3"/>
  <c r="H87" i="3"/>
  <c r="I87" i="3"/>
  <c r="J87" i="3"/>
  <c r="K87" i="3"/>
  <c r="L87" i="3"/>
  <c r="M87" i="3"/>
  <c r="N87" i="3"/>
  <c r="O87" i="3"/>
  <c r="P87" i="3"/>
  <c r="Q87" i="3"/>
  <c r="R87" i="3"/>
  <c r="H88" i="3"/>
  <c r="I88" i="3"/>
  <c r="J88" i="3"/>
  <c r="K88" i="3"/>
  <c r="L88" i="3"/>
  <c r="M88" i="3"/>
  <c r="N88" i="3"/>
  <c r="O88" i="3"/>
  <c r="P88" i="3"/>
  <c r="Q88" i="3"/>
  <c r="R88" i="3"/>
  <c r="H89" i="3"/>
  <c r="I89" i="3"/>
  <c r="J89" i="3"/>
  <c r="K89" i="3"/>
  <c r="L89" i="3"/>
  <c r="M89" i="3"/>
  <c r="N89" i="3"/>
  <c r="O89" i="3"/>
  <c r="P89" i="3"/>
  <c r="Q89" i="3"/>
  <c r="R89" i="3"/>
  <c r="H90" i="3"/>
  <c r="I90" i="3"/>
  <c r="J90" i="3"/>
  <c r="K90" i="3"/>
  <c r="L90" i="3"/>
  <c r="M90" i="3"/>
  <c r="N90" i="3"/>
  <c r="O90" i="3"/>
  <c r="P90" i="3"/>
  <c r="Q90" i="3"/>
  <c r="R90" i="3"/>
  <c r="H91" i="3"/>
  <c r="I91" i="3"/>
  <c r="J91" i="3"/>
  <c r="K91" i="3"/>
  <c r="L91" i="3"/>
  <c r="M91" i="3"/>
  <c r="N91" i="3"/>
  <c r="O91" i="3"/>
  <c r="P91" i="3"/>
  <c r="Q91" i="3"/>
  <c r="R91" i="3"/>
  <c r="H92" i="3"/>
  <c r="I92" i="3"/>
  <c r="J92" i="3"/>
  <c r="K92" i="3"/>
  <c r="L92" i="3"/>
  <c r="M92" i="3"/>
  <c r="N92" i="3"/>
  <c r="O92" i="3"/>
  <c r="P92" i="3"/>
  <c r="Q92" i="3"/>
  <c r="R92" i="3"/>
  <c r="H93" i="3"/>
  <c r="I93" i="3"/>
  <c r="J93" i="3"/>
  <c r="K93" i="3"/>
  <c r="L93" i="3"/>
  <c r="M93" i="3"/>
  <c r="N93" i="3"/>
  <c r="O93" i="3"/>
  <c r="P93" i="3"/>
  <c r="Q93" i="3"/>
  <c r="R93" i="3"/>
  <c r="H94" i="3"/>
  <c r="I94" i="3"/>
  <c r="J94" i="3"/>
  <c r="K94" i="3"/>
  <c r="L94" i="3"/>
  <c r="M94" i="3"/>
  <c r="N94" i="3"/>
  <c r="O94" i="3"/>
  <c r="P94" i="3"/>
  <c r="Q94" i="3"/>
  <c r="R94" i="3"/>
  <c r="H95" i="3"/>
  <c r="I95" i="3"/>
  <c r="J95" i="3"/>
  <c r="K95" i="3"/>
  <c r="L95" i="3"/>
  <c r="M95" i="3"/>
  <c r="N95" i="3"/>
  <c r="O95" i="3"/>
  <c r="P95" i="3"/>
  <c r="Q95" i="3"/>
  <c r="R95" i="3"/>
  <c r="H96" i="3"/>
  <c r="I96" i="3"/>
  <c r="J96" i="3"/>
  <c r="K96" i="3"/>
  <c r="L96" i="3"/>
  <c r="M96" i="3"/>
  <c r="N96" i="3"/>
  <c r="O96" i="3"/>
  <c r="P96" i="3"/>
  <c r="Q96" i="3"/>
  <c r="R96" i="3"/>
  <c r="H97" i="3"/>
  <c r="I97" i="3"/>
  <c r="J97" i="3"/>
  <c r="K97" i="3"/>
  <c r="L97" i="3"/>
  <c r="M97" i="3"/>
  <c r="N97" i="3"/>
  <c r="O97" i="3"/>
  <c r="P97" i="3"/>
  <c r="Q97" i="3"/>
  <c r="R97" i="3"/>
  <c r="H98" i="3"/>
  <c r="I98" i="3"/>
  <c r="J98" i="3"/>
  <c r="K98" i="3"/>
  <c r="L98" i="3"/>
  <c r="M98" i="3"/>
  <c r="N98" i="3"/>
  <c r="O98" i="3"/>
  <c r="P98" i="3"/>
  <c r="Q98" i="3"/>
  <c r="R98" i="3"/>
  <c r="H99" i="3"/>
  <c r="I99" i="3"/>
  <c r="J99" i="3"/>
  <c r="K99" i="3"/>
  <c r="L99" i="3"/>
  <c r="M99" i="3"/>
  <c r="N99" i="3"/>
  <c r="O99" i="3"/>
  <c r="P99" i="3"/>
  <c r="Q99" i="3"/>
  <c r="R99" i="3"/>
  <c r="H100" i="3"/>
  <c r="I100" i="3"/>
  <c r="J100" i="3"/>
  <c r="K100" i="3"/>
  <c r="L100" i="3"/>
  <c r="M100" i="3"/>
  <c r="N100" i="3"/>
  <c r="O100" i="3"/>
  <c r="P100" i="3"/>
  <c r="Q100" i="3"/>
  <c r="R100" i="3"/>
  <c r="G2" i="3"/>
  <c r="G3" i="3"/>
  <c r="F3" i="3" s="1"/>
  <c r="G4" i="3"/>
  <c r="F4" i="3" s="1"/>
  <c r="G5" i="3"/>
  <c r="F5" i="3" s="1"/>
  <c r="G6" i="3"/>
  <c r="F6" i="3" s="1"/>
  <c r="G7" i="3"/>
  <c r="F7" i="3" s="1"/>
  <c r="G8" i="3"/>
  <c r="F8" i="3" s="1"/>
  <c r="G9" i="3"/>
  <c r="F9" i="3" s="1"/>
  <c r="G10" i="3"/>
  <c r="F10" i="3" s="1"/>
  <c r="G11" i="3"/>
  <c r="F11" i="3" s="1"/>
  <c r="G12" i="3"/>
  <c r="F12" i="3" s="1"/>
  <c r="G13" i="3"/>
  <c r="F13" i="3" s="1"/>
  <c r="G14" i="3"/>
  <c r="F14" i="3" s="1"/>
  <c r="G15" i="3"/>
  <c r="F15" i="3" s="1"/>
  <c r="G16" i="3"/>
  <c r="G17" i="3"/>
  <c r="G18" i="3"/>
  <c r="G19" i="3"/>
  <c r="F19" i="3" s="1"/>
  <c r="G20" i="3"/>
  <c r="G21" i="3"/>
  <c r="G22" i="3"/>
  <c r="G23" i="3"/>
  <c r="F23" i="3" s="1"/>
  <c r="G24" i="3"/>
  <c r="G25" i="3"/>
  <c r="G26" i="3"/>
  <c r="G27" i="3"/>
  <c r="F27" i="3" s="1"/>
  <c r="G28" i="3"/>
  <c r="G29" i="3"/>
  <c r="G30" i="3"/>
  <c r="G31" i="3"/>
  <c r="F31" i="3" s="1"/>
  <c r="G32" i="3"/>
  <c r="G33" i="3"/>
  <c r="G34" i="3"/>
  <c r="G35" i="3"/>
  <c r="F35" i="3" s="1"/>
  <c r="G36" i="3"/>
  <c r="G37" i="3"/>
  <c r="G38" i="3"/>
  <c r="G39" i="3"/>
  <c r="F39" i="3" s="1"/>
  <c r="G40" i="3"/>
  <c r="G41" i="3"/>
  <c r="G42" i="3"/>
  <c r="G43" i="3"/>
  <c r="F43" i="3" s="1"/>
  <c r="G44" i="3"/>
  <c r="G45" i="3"/>
  <c r="G46" i="3"/>
  <c r="G47" i="3"/>
  <c r="F47" i="3" s="1"/>
  <c r="G48" i="3"/>
  <c r="G49" i="3"/>
  <c r="G50" i="3"/>
  <c r="G51" i="3"/>
  <c r="F51" i="3" s="1"/>
  <c r="G52" i="3"/>
  <c r="G53" i="3"/>
  <c r="G54" i="3"/>
  <c r="G55" i="3"/>
  <c r="F55" i="3" s="1"/>
  <c r="G56" i="3"/>
  <c r="G57" i="3"/>
  <c r="G58" i="3"/>
  <c r="G59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60" i="3"/>
  <c r="E4" i="3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3" i="3"/>
  <c r="C3" i="3"/>
  <c r="C17" i="3" s="1"/>
  <c r="C4" i="3"/>
  <c r="C5" i="3"/>
  <c r="C6" i="3"/>
  <c r="C7" i="3"/>
  <c r="C8" i="3"/>
  <c r="C9" i="3"/>
  <c r="C10" i="3"/>
  <c r="C11" i="3"/>
  <c r="C12" i="3"/>
  <c r="C13" i="3"/>
  <c r="C14" i="3"/>
  <c r="C15" i="3"/>
  <c r="C2" i="3"/>
  <c r="F100" i="3" l="1"/>
  <c r="F88" i="3"/>
  <c r="F76" i="3"/>
  <c r="F96" i="3"/>
  <c r="F84" i="3"/>
  <c r="F72" i="3"/>
  <c r="F59" i="3"/>
  <c r="F92" i="3"/>
  <c r="F68" i="3"/>
  <c r="F64" i="3"/>
  <c r="F80" i="3"/>
  <c r="F22" i="3"/>
  <c r="F18" i="3"/>
  <c r="F21" i="3"/>
  <c r="F17" i="3"/>
  <c r="F20" i="3"/>
  <c r="F16" i="3"/>
  <c r="F95" i="3"/>
  <c r="F91" i="3"/>
  <c r="F87" i="3"/>
  <c r="F83" i="3"/>
  <c r="F79" i="3"/>
  <c r="F75" i="3"/>
  <c r="F71" i="3"/>
  <c r="F67" i="3"/>
  <c r="F63" i="3"/>
  <c r="F58" i="3"/>
  <c r="F54" i="3"/>
  <c r="F50" i="3"/>
  <c r="F46" i="3"/>
  <c r="F42" i="3"/>
  <c r="F38" i="3"/>
  <c r="F34" i="3"/>
  <c r="F30" i="3"/>
  <c r="F26" i="3"/>
  <c r="F94" i="3"/>
  <c r="F90" i="3"/>
  <c r="F86" i="3"/>
  <c r="F82" i="3"/>
  <c r="F78" i="3"/>
  <c r="F74" i="3"/>
  <c r="F70" i="3"/>
  <c r="F66" i="3"/>
  <c r="F62" i="3"/>
  <c r="F57" i="3"/>
  <c r="F53" i="3"/>
  <c r="F49" i="3"/>
  <c r="F45" i="3"/>
  <c r="F41" i="3"/>
  <c r="F37" i="3"/>
  <c r="F33" i="3"/>
  <c r="F29" i="3"/>
  <c r="F25" i="3"/>
  <c r="F99" i="3"/>
  <c r="F98" i="3"/>
  <c r="F60" i="3"/>
  <c r="F97" i="3"/>
  <c r="F93" i="3"/>
  <c r="F89" i="3"/>
  <c r="F85" i="3"/>
  <c r="F81" i="3"/>
  <c r="F77" i="3"/>
  <c r="F73" i="3"/>
  <c r="F69" i="3"/>
  <c r="F65" i="3"/>
  <c r="F61" i="3"/>
  <c r="F56" i="3"/>
  <c r="F52" i="3"/>
  <c r="F48" i="3"/>
  <c r="F44" i="3"/>
  <c r="F40" i="3"/>
  <c r="F36" i="3"/>
  <c r="F32" i="3"/>
  <c r="F28" i="3"/>
  <c r="F24" i="3"/>
  <c r="AW81" i="1"/>
  <c r="AT81" i="1"/>
  <c r="S81" i="1"/>
  <c r="R81" i="1"/>
  <c r="AU81" i="1" s="1"/>
  <c r="T81" i="1" l="1"/>
  <c r="U81" i="1"/>
  <c r="R166" i="1"/>
  <c r="AU166" i="1" s="1"/>
  <c r="S166" i="1"/>
  <c r="AT166" i="1"/>
  <c r="R52" i="1"/>
  <c r="AU52" i="1" s="1"/>
  <c r="S52" i="1"/>
  <c r="AT52" i="1"/>
  <c r="AW52" i="1"/>
  <c r="R14" i="1"/>
  <c r="AU14" i="1" s="1"/>
  <c r="S14" i="1"/>
  <c r="AT14" i="1"/>
  <c r="AW14" i="1"/>
  <c r="T166" i="1" l="1"/>
  <c r="U166" i="1"/>
  <c r="T14" i="1"/>
  <c r="U14" i="1"/>
  <c r="U52" i="1"/>
  <c r="T52" i="1"/>
  <c r="AT163" i="1"/>
  <c r="S163" i="1"/>
  <c r="R163" i="1"/>
  <c r="AU163" i="1" s="1"/>
  <c r="AT162" i="1"/>
  <c r="S162" i="1"/>
  <c r="R162" i="1"/>
  <c r="S161" i="1"/>
  <c r="R161" i="1"/>
  <c r="AU161" i="1" s="1"/>
  <c r="S160" i="1"/>
  <c r="R160" i="1"/>
  <c r="AU160" i="1" s="1"/>
  <c r="AU159" i="1"/>
  <c r="S159" i="1"/>
  <c r="T159" i="1" s="1"/>
  <c r="AT158" i="1"/>
  <c r="S158" i="1"/>
  <c r="R158" i="1"/>
  <c r="AT157" i="1"/>
  <c r="S157" i="1"/>
  <c r="R157" i="1"/>
  <c r="AU157" i="1" s="1"/>
  <c r="AT156" i="1"/>
  <c r="S156" i="1"/>
  <c r="R156" i="1"/>
  <c r="AT155" i="1"/>
  <c r="S155" i="1"/>
  <c r="R155" i="1"/>
  <c r="AU155" i="1" s="1"/>
  <c r="AT154" i="1"/>
  <c r="S154" i="1"/>
  <c r="R154" i="1"/>
  <c r="AT153" i="1"/>
  <c r="S153" i="1"/>
  <c r="R153" i="1"/>
  <c r="AU153" i="1" s="1"/>
  <c r="AT152" i="1"/>
  <c r="S152" i="1"/>
  <c r="R152" i="1"/>
  <c r="AT151" i="1"/>
  <c r="S151" i="1"/>
  <c r="R151" i="1"/>
  <c r="AU151" i="1" s="1"/>
  <c r="AT150" i="1"/>
  <c r="S150" i="1"/>
  <c r="R150" i="1"/>
  <c r="AT149" i="1"/>
  <c r="S149" i="1"/>
  <c r="R149" i="1"/>
  <c r="AU149" i="1" s="1"/>
  <c r="AT148" i="1"/>
  <c r="S148" i="1"/>
  <c r="R148" i="1"/>
  <c r="AT147" i="1"/>
  <c r="S147" i="1"/>
  <c r="R147" i="1"/>
  <c r="AU147" i="1" s="1"/>
  <c r="AT146" i="1"/>
  <c r="S146" i="1"/>
  <c r="R146" i="1"/>
  <c r="AT145" i="1"/>
  <c r="S145" i="1"/>
  <c r="R145" i="1"/>
  <c r="AU145" i="1" s="1"/>
  <c r="S144" i="1"/>
  <c r="R144" i="1"/>
  <c r="AU144" i="1" s="1"/>
  <c r="AT143" i="1"/>
  <c r="S143" i="1"/>
  <c r="R143" i="1"/>
  <c r="AU143" i="1" s="1"/>
  <c r="AT142" i="1"/>
  <c r="S142" i="1"/>
  <c r="R142" i="1"/>
  <c r="AT141" i="1"/>
  <c r="S141" i="1"/>
  <c r="R141" i="1"/>
  <c r="AU141" i="1" s="1"/>
  <c r="AT140" i="1"/>
  <c r="S140" i="1"/>
  <c r="R140" i="1"/>
  <c r="AU140" i="1" s="1"/>
  <c r="AT139" i="1"/>
  <c r="S139" i="1"/>
  <c r="R139" i="1"/>
  <c r="AU139" i="1" s="1"/>
  <c r="AT138" i="1"/>
  <c r="S138" i="1"/>
  <c r="R138" i="1"/>
  <c r="AU138" i="1" s="1"/>
  <c r="AT137" i="1"/>
  <c r="S137" i="1"/>
  <c r="R137" i="1"/>
  <c r="AU137" i="1" s="1"/>
  <c r="AT136" i="1"/>
  <c r="S136" i="1"/>
  <c r="R136" i="1"/>
  <c r="AU136" i="1" s="1"/>
  <c r="AT135" i="1"/>
  <c r="S135" i="1"/>
  <c r="R135" i="1"/>
  <c r="AU135" i="1" s="1"/>
  <c r="AT134" i="1"/>
  <c r="S134" i="1"/>
  <c r="R134" i="1"/>
  <c r="AT133" i="1"/>
  <c r="S133" i="1"/>
  <c r="R133" i="1"/>
  <c r="AU133" i="1" s="1"/>
  <c r="AT132" i="1"/>
  <c r="S132" i="1"/>
  <c r="R132" i="1"/>
  <c r="AU132" i="1" s="1"/>
  <c r="AT131" i="1"/>
  <c r="S131" i="1"/>
  <c r="R131" i="1"/>
  <c r="AU131" i="1" s="1"/>
  <c r="AT130" i="1"/>
  <c r="S130" i="1"/>
  <c r="R130" i="1"/>
  <c r="AU130" i="1" s="1"/>
  <c r="AT129" i="1"/>
  <c r="S129" i="1"/>
  <c r="R129" i="1"/>
  <c r="AU129" i="1" s="1"/>
  <c r="AT128" i="1"/>
  <c r="S128" i="1"/>
  <c r="R128" i="1"/>
  <c r="AU128" i="1" s="1"/>
  <c r="AT127" i="1"/>
  <c r="S127" i="1"/>
  <c r="R127" i="1"/>
  <c r="AU127" i="1" s="1"/>
  <c r="AT126" i="1"/>
  <c r="S126" i="1"/>
  <c r="R126" i="1"/>
  <c r="AU126" i="1" s="1"/>
  <c r="AT125" i="1"/>
  <c r="S125" i="1"/>
  <c r="R125" i="1"/>
  <c r="AU125" i="1" s="1"/>
  <c r="AT124" i="1"/>
  <c r="S124" i="1"/>
  <c r="R124" i="1"/>
  <c r="AU124" i="1" s="1"/>
  <c r="AT123" i="1"/>
  <c r="S123" i="1"/>
  <c r="R123" i="1"/>
  <c r="AU123" i="1" s="1"/>
  <c r="AT122" i="1"/>
  <c r="S122" i="1"/>
  <c r="R122" i="1"/>
  <c r="AU122" i="1" s="1"/>
  <c r="AT121" i="1"/>
  <c r="S121" i="1"/>
  <c r="R121" i="1"/>
  <c r="AU121" i="1" s="1"/>
  <c r="AT120" i="1"/>
  <c r="S120" i="1"/>
  <c r="R120" i="1"/>
  <c r="AT119" i="1"/>
  <c r="S119" i="1"/>
  <c r="R119" i="1"/>
  <c r="AU119" i="1" s="1"/>
  <c r="AT118" i="1"/>
  <c r="S118" i="1"/>
  <c r="R118" i="1"/>
  <c r="AT117" i="1"/>
  <c r="S117" i="1"/>
  <c r="R117" i="1"/>
  <c r="AU117" i="1" s="1"/>
  <c r="AT116" i="1"/>
  <c r="S116" i="1"/>
  <c r="R116" i="1"/>
  <c r="AT115" i="1"/>
  <c r="S115" i="1"/>
  <c r="R115" i="1"/>
  <c r="AU115" i="1" s="1"/>
  <c r="AT114" i="1"/>
  <c r="S114" i="1"/>
  <c r="R114" i="1"/>
  <c r="AT113" i="1"/>
  <c r="S113" i="1"/>
  <c r="R113" i="1"/>
  <c r="AU113" i="1" s="1"/>
  <c r="AT112" i="1"/>
  <c r="S112" i="1"/>
  <c r="R112" i="1"/>
  <c r="AT111" i="1"/>
  <c r="S111" i="1"/>
  <c r="R111" i="1"/>
  <c r="AU111" i="1" s="1"/>
  <c r="AT110" i="1"/>
  <c r="S110" i="1"/>
  <c r="R110" i="1"/>
  <c r="AT109" i="1"/>
  <c r="S109" i="1"/>
  <c r="R109" i="1"/>
  <c r="AU109" i="1" s="1"/>
  <c r="AT108" i="1"/>
  <c r="S108" i="1"/>
  <c r="R108" i="1"/>
  <c r="AT107" i="1"/>
  <c r="S107" i="1"/>
  <c r="R107" i="1"/>
  <c r="AU107" i="1" s="1"/>
  <c r="AT106" i="1"/>
  <c r="S106" i="1"/>
  <c r="R106" i="1"/>
  <c r="AT105" i="1"/>
  <c r="S105" i="1"/>
  <c r="R105" i="1"/>
  <c r="AU105" i="1" s="1"/>
  <c r="AT104" i="1"/>
  <c r="S104" i="1"/>
  <c r="R104" i="1"/>
  <c r="AT103" i="1"/>
  <c r="S103" i="1"/>
  <c r="R103" i="1"/>
  <c r="AU103" i="1" s="1"/>
  <c r="AT102" i="1"/>
  <c r="S102" i="1"/>
  <c r="R102" i="1"/>
  <c r="AT101" i="1"/>
  <c r="S101" i="1"/>
  <c r="R101" i="1"/>
  <c r="AU101" i="1" s="1"/>
  <c r="AT100" i="1"/>
  <c r="S100" i="1"/>
  <c r="R100" i="1"/>
  <c r="AU99" i="1"/>
  <c r="AT99" i="1"/>
  <c r="S99" i="1"/>
  <c r="AT98" i="1"/>
  <c r="S98" i="1"/>
  <c r="R98" i="1"/>
  <c r="AU98" i="1" s="1"/>
  <c r="AT97" i="1"/>
  <c r="S97" i="1"/>
  <c r="R97" i="1"/>
  <c r="AT96" i="1"/>
  <c r="S96" i="1"/>
  <c r="R96" i="1"/>
  <c r="AU96" i="1" s="1"/>
  <c r="AT95" i="1"/>
  <c r="S95" i="1"/>
  <c r="R95" i="1"/>
  <c r="AT94" i="1"/>
  <c r="S94" i="1"/>
  <c r="R94" i="1"/>
  <c r="AT93" i="1"/>
  <c r="S93" i="1"/>
  <c r="R93" i="1"/>
  <c r="AT92" i="1"/>
  <c r="S92" i="1"/>
  <c r="R92" i="1"/>
  <c r="AU92" i="1" s="1"/>
  <c r="AT91" i="1"/>
  <c r="S91" i="1"/>
  <c r="R91" i="1"/>
  <c r="AT90" i="1"/>
  <c r="S90" i="1"/>
  <c r="R90" i="1"/>
  <c r="AU90" i="1" s="1"/>
  <c r="AT89" i="1"/>
  <c r="S89" i="1"/>
  <c r="R89" i="1"/>
  <c r="AT88" i="1"/>
  <c r="S88" i="1"/>
  <c r="R88" i="1"/>
  <c r="AU88" i="1" s="1"/>
  <c r="AT87" i="1"/>
  <c r="S87" i="1"/>
  <c r="R87" i="1"/>
  <c r="AT86" i="1"/>
  <c r="S86" i="1"/>
  <c r="R86" i="1"/>
  <c r="AT85" i="1"/>
  <c r="S85" i="1"/>
  <c r="R85" i="1"/>
  <c r="AT84" i="1"/>
  <c r="S84" i="1"/>
  <c r="R84" i="1"/>
  <c r="AU84" i="1" s="1"/>
  <c r="AT83" i="1"/>
  <c r="S83" i="1"/>
  <c r="R83" i="1"/>
  <c r="AW82" i="1"/>
  <c r="AT82" i="1"/>
  <c r="S82" i="1"/>
  <c r="R82" i="1"/>
  <c r="AW80" i="1"/>
  <c r="AT80" i="1"/>
  <c r="S80" i="1"/>
  <c r="R80" i="1"/>
  <c r="AU80" i="1" s="1"/>
  <c r="AW79" i="1"/>
  <c r="AT79" i="1"/>
  <c r="S79" i="1"/>
  <c r="R79" i="1"/>
  <c r="AW78" i="1"/>
  <c r="AT78" i="1"/>
  <c r="S78" i="1"/>
  <c r="R78" i="1"/>
  <c r="AW77" i="1"/>
  <c r="AT77" i="1"/>
  <c r="S77" i="1"/>
  <c r="R77" i="1"/>
  <c r="AU77" i="1" s="1"/>
  <c r="AW76" i="1"/>
  <c r="AT76" i="1"/>
  <c r="S76" i="1"/>
  <c r="R76" i="1"/>
  <c r="AU76" i="1" s="1"/>
  <c r="AW75" i="1"/>
  <c r="AT75" i="1"/>
  <c r="S75" i="1"/>
  <c r="R75" i="1"/>
  <c r="AW74" i="1"/>
  <c r="AT74" i="1"/>
  <c r="S74" i="1"/>
  <c r="R74" i="1"/>
  <c r="AU74" i="1" s="1"/>
  <c r="AW73" i="1"/>
  <c r="AT73" i="1"/>
  <c r="S73" i="1"/>
  <c r="R73" i="1"/>
  <c r="AU73" i="1" s="1"/>
  <c r="AW72" i="1"/>
  <c r="AT72" i="1"/>
  <c r="S72" i="1"/>
  <c r="R72" i="1"/>
  <c r="AW71" i="1"/>
  <c r="AT71" i="1"/>
  <c r="S71" i="1"/>
  <c r="R71" i="1"/>
  <c r="AW70" i="1"/>
  <c r="AT70" i="1"/>
  <c r="S70" i="1"/>
  <c r="R70" i="1"/>
  <c r="AU70" i="1" s="1"/>
  <c r="AW69" i="1"/>
  <c r="AT69" i="1"/>
  <c r="S69" i="1"/>
  <c r="R69" i="1"/>
  <c r="AU69" i="1" s="1"/>
  <c r="AW68" i="1"/>
  <c r="AT68" i="1"/>
  <c r="S68" i="1"/>
  <c r="R68" i="1"/>
  <c r="AU68" i="1" s="1"/>
  <c r="AW67" i="1"/>
  <c r="AT67" i="1"/>
  <c r="S67" i="1"/>
  <c r="R67" i="1"/>
  <c r="AW66" i="1"/>
  <c r="AT66" i="1"/>
  <c r="S66" i="1"/>
  <c r="R66" i="1"/>
  <c r="AU66" i="1" s="1"/>
  <c r="AW65" i="1"/>
  <c r="AT65" i="1"/>
  <c r="S65" i="1"/>
  <c r="R65" i="1"/>
  <c r="AU65" i="1" s="1"/>
  <c r="AW64" i="1"/>
  <c r="AT64" i="1"/>
  <c r="S64" i="1"/>
  <c r="R64" i="1"/>
  <c r="AW63" i="1"/>
  <c r="AT63" i="1"/>
  <c r="S63" i="1"/>
  <c r="R63" i="1"/>
  <c r="AW62" i="1"/>
  <c r="AT62" i="1"/>
  <c r="S62" i="1"/>
  <c r="R62" i="1"/>
  <c r="AU62" i="1" s="1"/>
  <c r="AW61" i="1"/>
  <c r="AT61" i="1"/>
  <c r="S61" i="1"/>
  <c r="AW60" i="1"/>
  <c r="AT60" i="1"/>
  <c r="S60" i="1"/>
  <c r="R60" i="1"/>
  <c r="AU60" i="1" s="1"/>
  <c r="AW59" i="1"/>
  <c r="AT59" i="1"/>
  <c r="S59" i="1"/>
  <c r="R59" i="1"/>
  <c r="AW58" i="1"/>
  <c r="AT58" i="1"/>
  <c r="S58" i="1"/>
  <c r="R58" i="1"/>
  <c r="AW57" i="1"/>
  <c r="AT57" i="1"/>
  <c r="S57" i="1"/>
  <c r="R57" i="1"/>
  <c r="AW56" i="1"/>
  <c r="AT56" i="1"/>
  <c r="S56" i="1"/>
  <c r="R56" i="1"/>
  <c r="AU56" i="1" s="1"/>
  <c r="AW55" i="1"/>
  <c r="AT55" i="1"/>
  <c r="S55" i="1"/>
  <c r="R55" i="1"/>
  <c r="AW54" i="1"/>
  <c r="AT54" i="1"/>
  <c r="S54" i="1"/>
  <c r="R54" i="1"/>
  <c r="AU54" i="1" s="1"/>
  <c r="AW53" i="1"/>
  <c r="AT53" i="1"/>
  <c r="S53" i="1"/>
  <c r="R53" i="1"/>
  <c r="AW51" i="1"/>
  <c r="AT51" i="1"/>
  <c r="S51" i="1"/>
  <c r="R51" i="1"/>
  <c r="AU51" i="1" s="1"/>
  <c r="AW50" i="1"/>
  <c r="AT50" i="1"/>
  <c r="S50" i="1"/>
  <c r="R50" i="1"/>
  <c r="AU50" i="1" s="1"/>
  <c r="AW49" i="1"/>
  <c r="AT49" i="1"/>
  <c r="S49" i="1"/>
  <c r="R49" i="1"/>
  <c r="AW48" i="1"/>
  <c r="AT48" i="1"/>
  <c r="S48" i="1"/>
  <c r="R48" i="1"/>
  <c r="AU48" i="1" s="1"/>
  <c r="AW47" i="1"/>
  <c r="AT47" i="1"/>
  <c r="S47" i="1"/>
  <c r="R47" i="1"/>
  <c r="AU47" i="1" s="1"/>
  <c r="AW46" i="1"/>
  <c r="AT46" i="1"/>
  <c r="S46" i="1"/>
  <c r="R46" i="1"/>
  <c r="AU46" i="1" s="1"/>
  <c r="AW45" i="1"/>
  <c r="AT45" i="1"/>
  <c r="S45" i="1"/>
  <c r="R45" i="1"/>
  <c r="AW44" i="1"/>
  <c r="AT44" i="1"/>
  <c r="S44" i="1"/>
  <c r="R44" i="1"/>
  <c r="AU44" i="1" s="1"/>
  <c r="AW43" i="1"/>
  <c r="AT43" i="1"/>
  <c r="S43" i="1"/>
  <c r="R43" i="1"/>
  <c r="AU43" i="1" s="1"/>
  <c r="AW42" i="1"/>
  <c r="AT42" i="1"/>
  <c r="S42" i="1"/>
  <c r="R42" i="1"/>
  <c r="AU42" i="1" s="1"/>
  <c r="AW41" i="1"/>
  <c r="AT41" i="1"/>
  <c r="S41" i="1"/>
  <c r="R41" i="1"/>
  <c r="AW40" i="1"/>
  <c r="AT40" i="1"/>
  <c r="S40" i="1"/>
  <c r="R40" i="1"/>
  <c r="AW39" i="1"/>
  <c r="AT39" i="1"/>
  <c r="S39" i="1"/>
  <c r="R39" i="1"/>
  <c r="AU39" i="1" s="1"/>
  <c r="AW38" i="1"/>
  <c r="AT38" i="1"/>
  <c r="S38" i="1"/>
  <c r="R38" i="1"/>
  <c r="AU38" i="1" s="1"/>
  <c r="AW37" i="1"/>
  <c r="AT37" i="1"/>
  <c r="S37" i="1"/>
  <c r="R37" i="1"/>
  <c r="AW36" i="1"/>
  <c r="AT36" i="1"/>
  <c r="S36" i="1"/>
  <c r="R36" i="1"/>
  <c r="AU36" i="1" s="1"/>
  <c r="AW35" i="1"/>
  <c r="AT35" i="1"/>
  <c r="S35" i="1"/>
  <c r="R35" i="1"/>
  <c r="AU35" i="1" s="1"/>
  <c r="AW34" i="1"/>
  <c r="AT34" i="1"/>
  <c r="S34" i="1"/>
  <c r="R34" i="1"/>
  <c r="AU34" i="1" s="1"/>
  <c r="AW33" i="1"/>
  <c r="AT33" i="1"/>
  <c r="S33" i="1"/>
  <c r="R33" i="1"/>
  <c r="AU33" i="1" s="1"/>
  <c r="AW32" i="1"/>
  <c r="AT32" i="1"/>
  <c r="S32" i="1"/>
  <c r="R32" i="1"/>
  <c r="AW31" i="1"/>
  <c r="AT31" i="1"/>
  <c r="S31" i="1"/>
  <c r="R31" i="1"/>
  <c r="AU31" i="1" s="1"/>
  <c r="AW30" i="1"/>
  <c r="AT30" i="1"/>
  <c r="S30" i="1"/>
  <c r="R30" i="1"/>
  <c r="AU30" i="1" s="1"/>
  <c r="AW29" i="1"/>
  <c r="AT29" i="1"/>
  <c r="S29" i="1"/>
  <c r="R29" i="1"/>
  <c r="AW28" i="1"/>
  <c r="AT28" i="1"/>
  <c r="S28" i="1"/>
  <c r="R28" i="1"/>
  <c r="AW27" i="1"/>
  <c r="AT27" i="1"/>
  <c r="S27" i="1"/>
  <c r="R27" i="1"/>
  <c r="AU27" i="1" s="1"/>
  <c r="AW26" i="1"/>
  <c r="AT26" i="1"/>
  <c r="S26" i="1"/>
  <c r="R26" i="1"/>
  <c r="AU26" i="1" s="1"/>
  <c r="AW25" i="1"/>
  <c r="AT25" i="1"/>
  <c r="S25" i="1"/>
  <c r="R25" i="1"/>
  <c r="AU25" i="1" s="1"/>
  <c r="AW24" i="1"/>
  <c r="AT24" i="1"/>
  <c r="S24" i="1"/>
  <c r="R24" i="1"/>
  <c r="AW23" i="1"/>
  <c r="AT23" i="1"/>
  <c r="S23" i="1"/>
  <c r="R23" i="1"/>
  <c r="AU23" i="1" s="1"/>
  <c r="AW22" i="1"/>
  <c r="AT22" i="1"/>
  <c r="S22" i="1"/>
  <c r="R22" i="1"/>
  <c r="AU22" i="1" s="1"/>
  <c r="AW21" i="1"/>
  <c r="AT21" i="1"/>
  <c r="S21" i="1"/>
  <c r="R21" i="1"/>
  <c r="AU21" i="1" s="1"/>
  <c r="AW20" i="1"/>
  <c r="AT20" i="1"/>
  <c r="S20" i="1"/>
  <c r="R20" i="1"/>
  <c r="AW19" i="1"/>
  <c r="AT19" i="1"/>
  <c r="S19" i="1"/>
  <c r="R19" i="1"/>
  <c r="AU19" i="1" s="1"/>
  <c r="AW18" i="1"/>
  <c r="AT18" i="1"/>
  <c r="S18" i="1"/>
  <c r="R18" i="1"/>
  <c r="AU18" i="1" s="1"/>
  <c r="AW17" i="1"/>
  <c r="AT17" i="1"/>
  <c r="S17" i="1"/>
  <c r="R17" i="1"/>
  <c r="AU17" i="1" s="1"/>
  <c r="AW16" i="1"/>
  <c r="AT16" i="1"/>
  <c r="S16" i="1"/>
  <c r="R16" i="1"/>
  <c r="AW15" i="1"/>
  <c r="AT15" i="1"/>
  <c r="S15" i="1"/>
  <c r="R15" i="1"/>
  <c r="AU15" i="1" s="1"/>
  <c r="AW13" i="1"/>
  <c r="AT13" i="1"/>
  <c r="S13" i="1"/>
  <c r="R13" i="1"/>
  <c r="AU13" i="1" s="1"/>
  <c r="AW12" i="1"/>
  <c r="AT12" i="1"/>
  <c r="S12" i="1"/>
  <c r="R12" i="1"/>
  <c r="AW11" i="1"/>
  <c r="AT11" i="1"/>
  <c r="S11" i="1"/>
  <c r="R11" i="1"/>
  <c r="AU11" i="1" s="1"/>
  <c r="AW10" i="1"/>
  <c r="AT10" i="1"/>
  <c r="S10" i="1"/>
  <c r="R10" i="1"/>
  <c r="AU10" i="1" s="1"/>
  <c r="AW9" i="1"/>
  <c r="AT9" i="1"/>
  <c r="S9" i="1"/>
  <c r="R9" i="1"/>
  <c r="AU9" i="1" s="1"/>
  <c r="AW8" i="1"/>
  <c r="AT8" i="1"/>
  <c r="S8" i="1"/>
  <c r="R8" i="1"/>
  <c r="AW7" i="1"/>
  <c r="AT7" i="1"/>
  <c r="S7" i="1"/>
  <c r="R7" i="1"/>
  <c r="AU7" i="1" s="1"/>
  <c r="AW6" i="1"/>
  <c r="AT6" i="1"/>
  <c r="S6" i="1"/>
  <c r="R6" i="1"/>
  <c r="AU6" i="1" s="1"/>
  <c r="AW5" i="1"/>
  <c r="AT5" i="1"/>
  <c r="S5" i="1"/>
  <c r="R5" i="1"/>
  <c r="AU5" i="1" s="1"/>
  <c r="AW4" i="1"/>
  <c r="AT4" i="1"/>
  <c r="S4" i="1"/>
  <c r="R4" i="1"/>
  <c r="AW3" i="1"/>
  <c r="AT3" i="1"/>
  <c r="S3" i="1"/>
  <c r="R3" i="1"/>
  <c r="AU3" i="1" s="1"/>
  <c r="AW2" i="1"/>
  <c r="AT2" i="1"/>
  <c r="S2" i="1"/>
  <c r="R2" i="1"/>
  <c r="AU2" i="1" s="1"/>
  <c r="U40" i="1" l="1"/>
  <c r="U58" i="1"/>
  <c r="U64" i="1"/>
  <c r="T160" i="1"/>
  <c r="U120" i="1"/>
  <c r="T151" i="1"/>
  <c r="T122" i="1"/>
  <c r="U142" i="1"/>
  <c r="T155" i="1"/>
  <c r="U82" i="1"/>
  <c r="T107" i="1"/>
  <c r="U128" i="1"/>
  <c r="T163" i="1"/>
  <c r="T128" i="1"/>
  <c r="U130" i="1"/>
  <c r="U136" i="1"/>
  <c r="T140" i="1"/>
  <c r="T157" i="1"/>
  <c r="T78" i="1"/>
  <c r="U15" i="1"/>
  <c r="U27" i="1"/>
  <c r="T30" i="1"/>
  <c r="U46" i="1"/>
  <c r="T69" i="1"/>
  <c r="T88" i="1"/>
  <c r="T96" i="1"/>
  <c r="U100" i="1"/>
  <c r="U108" i="1"/>
  <c r="T113" i="1"/>
  <c r="U4" i="1"/>
  <c r="U8" i="1"/>
  <c r="U20" i="1"/>
  <c r="U24" i="1"/>
  <c r="T90" i="1"/>
  <c r="T98" i="1"/>
  <c r="T2" i="1"/>
  <c r="U31" i="1"/>
  <c r="T34" i="1"/>
  <c r="T41" i="1"/>
  <c r="U73" i="1"/>
  <c r="T74" i="1"/>
  <c r="T85" i="1"/>
  <c r="T93" i="1"/>
  <c r="U106" i="1"/>
  <c r="T115" i="1"/>
  <c r="U116" i="1"/>
  <c r="T121" i="1"/>
  <c r="T149" i="1"/>
  <c r="U11" i="1"/>
  <c r="U78" i="1"/>
  <c r="T79" i="1"/>
  <c r="T80" i="1"/>
  <c r="U84" i="1"/>
  <c r="U92" i="1"/>
  <c r="T105" i="1"/>
  <c r="U114" i="1"/>
  <c r="T18" i="1"/>
  <c r="U50" i="1"/>
  <c r="U51" i="1"/>
  <c r="T53" i="1"/>
  <c r="T62" i="1"/>
  <c r="U3" i="1"/>
  <c r="T6" i="1"/>
  <c r="U19" i="1"/>
  <c r="T22" i="1"/>
  <c r="U35" i="1"/>
  <c r="T36" i="1"/>
  <c r="T37" i="1"/>
  <c r="T39" i="1"/>
  <c r="U54" i="1"/>
  <c r="T58" i="1"/>
  <c r="T59" i="1"/>
  <c r="T61" i="1"/>
  <c r="U74" i="1"/>
  <c r="T75" i="1"/>
  <c r="T76" i="1"/>
  <c r="U86" i="1"/>
  <c r="U88" i="1"/>
  <c r="T89" i="1"/>
  <c r="U94" i="1"/>
  <c r="U96" i="1"/>
  <c r="T97" i="1"/>
  <c r="T103" i="1"/>
  <c r="U104" i="1"/>
  <c r="T111" i="1"/>
  <c r="U112" i="1"/>
  <c r="T119" i="1"/>
  <c r="T132" i="1"/>
  <c r="T138" i="1"/>
  <c r="T144" i="1"/>
  <c r="U7" i="1"/>
  <c r="T10" i="1"/>
  <c r="U12" i="1"/>
  <c r="U23" i="1"/>
  <c r="T26" i="1"/>
  <c r="U28" i="1"/>
  <c r="U29" i="1"/>
  <c r="U42" i="1"/>
  <c r="U65" i="1"/>
  <c r="U66" i="1"/>
  <c r="T67" i="1"/>
  <c r="T68" i="1"/>
  <c r="T101" i="1"/>
  <c r="U102" i="1"/>
  <c r="T109" i="1"/>
  <c r="U110" i="1"/>
  <c r="T117" i="1"/>
  <c r="U118" i="1"/>
  <c r="T124" i="1"/>
  <c r="T130" i="1"/>
  <c r="U134" i="1"/>
  <c r="T136" i="1"/>
  <c r="U138" i="1"/>
  <c r="U144" i="1"/>
  <c r="T147" i="1"/>
  <c r="U16" i="1"/>
  <c r="U32" i="1"/>
  <c r="U72" i="1"/>
  <c r="AU134" i="1"/>
  <c r="U5" i="1"/>
  <c r="U9" i="1"/>
  <c r="U13" i="1"/>
  <c r="U17" i="1"/>
  <c r="U21" i="1"/>
  <c r="U25" i="1"/>
  <c r="T29" i="1"/>
  <c r="U33" i="1"/>
  <c r="U38" i="1"/>
  <c r="T42" i="1"/>
  <c r="U49" i="1"/>
  <c r="T51" i="1"/>
  <c r="T56" i="1"/>
  <c r="T57" i="1"/>
  <c r="AU58" i="1"/>
  <c r="T60" i="1"/>
  <c r="U62" i="1"/>
  <c r="T64" i="1"/>
  <c r="T66" i="1"/>
  <c r="AU72" i="1"/>
  <c r="T73" i="1"/>
  <c r="U77" i="1"/>
  <c r="T84" i="1"/>
  <c r="AU86" i="1"/>
  <c r="U90" i="1"/>
  <c r="T92" i="1"/>
  <c r="AU94" i="1"/>
  <c r="U98" i="1"/>
  <c r="U122" i="1"/>
  <c r="U124" i="1"/>
  <c r="T126" i="1"/>
  <c r="U132" i="1"/>
  <c r="T134" i="1"/>
  <c r="U140" i="1"/>
  <c r="T142" i="1"/>
  <c r="AU142" i="1"/>
  <c r="U48" i="1"/>
  <c r="T77" i="1"/>
  <c r="T86" i="1"/>
  <c r="T94" i="1"/>
  <c r="U126" i="1"/>
  <c r="T145" i="1"/>
  <c r="T153" i="1"/>
  <c r="U159" i="1"/>
  <c r="T70" i="1"/>
  <c r="T3" i="1"/>
  <c r="T7" i="1"/>
  <c r="T11" i="1"/>
  <c r="T15" i="1"/>
  <c r="T19" i="1"/>
  <c r="T23" i="1"/>
  <c r="T27" i="1"/>
  <c r="AU29" i="1"/>
  <c r="T31" i="1"/>
  <c r="T35" i="1"/>
  <c r="T44" i="1"/>
  <c r="T45" i="1"/>
  <c r="T46" i="1"/>
  <c r="T50" i="1"/>
  <c r="T54" i="1"/>
  <c r="AU64" i="1"/>
  <c r="T65" i="1"/>
  <c r="U69" i="1"/>
  <c r="U70" i="1"/>
  <c r="T72" i="1"/>
  <c r="T82" i="1"/>
  <c r="T100" i="1"/>
  <c r="T102" i="1"/>
  <c r="T104" i="1"/>
  <c r="T106" i="1"/>
  <c r="T108" i="1"/>
  <c r="T110" i="1"/>
  <c r="T112" i="1"/>
  <c r="T114" i="1"/>
  <c r="T116" i="1"/>
  <c r="T118" i="1"/>
  <c r="T120" i="1"/>
  <c r="AU40" i="1"/>
  <c r="AU49" i="1"/>
  <c r="U55" i="1"/>
  <c r="AU55" i="1"/>
  <c r="U63" i="1"/>
  <c r="AU63" i="1"/>
  <c r="U83" i="1"/>
  <c r="AU83" i="1"/>
  <c r="U91" i="1"/>
  <c r="AU91" i="1"/>
  <c r="U99" i="1"/>
  <c r="T99" i="1"/>
  <c r="U123" i="1"/>
  <c r="T123" i="1"/>
  <c r="U131" i="1"/>
  <c r="T131" i="1"/>
  <c r="U139" i="1"/>
  <c r="T139" i="1"/>
  <c r="U146" i="1"/>
  <c r="T146" i="1"/>
  <c r="AU146" i="1"/>
  <c r="U154" i="1"/>
  <c r="T154" i="1"/>
  <c r="AU154" i="1"/>
  <c r="U161" i="1"/>
  <c r="T161" i="1"/>
  <c r="U2" i="1"/>
  <c r="AU4" i="1"/>
  <c r="T5" i="1"/>
  <c r="U6" i="1"/>
  <c r="AU8" i="1"/>
  <c r="T9" i="1"/>
  <c r="U10" i="1"/>
  <c r="AU12" i="1"/>
  <c r="T13" i="1"/>
  <c r="AU16" i="1"/>
  <c r="T17" i="1"/>
  <c r="U18" i="1"/>
  <c r="AU20" i="1"/>
  <c r="T21" i="1"/>
  <c r="U22" i="1"/>
  <c r="AU24" i="1"/>
  <c r="T25" i="1"/>
  <c r="U26" i="1"/>
  <c r="AU28" i="1"/>
  <c r="U30" i="1"/>
  <c r="AU32" i="1"/>
  <c r="T33" i="1"/>
  <c r="U34" i="1"/>
  <c r="U36" i="1"/>
  <c r="U37" i="1"/>
  <c r="AU37" i="1"/>
  <c r="T38" i="1"/>
  <c r="U39" i="1"/>
  <c r="T40" i="1"/>
  <c r="T43" i="1"/>
  <c r="AU53" i="1"/>
  <c r="U53" i="1"/>
  <c r="U60" i="1"/>
  <c r="AU61" i="1"/>
  <c r="U61" i="1"/>
  <c r="T63" i="1"/>
  <c r="U67" i="1"/>
  <c r="AU67" i="1"/>
  <c r="U68" i="1"/>
  <c r="T83" i="1"/>
  <c r="U85" i="1"/>
  <c r="AU85" i="1"/>
  <c r="T91" i="1"/>
  <c r="U93" i="1"/>
  <c r="AU93" i="1"/>
  <c r="U125" i="1"/>
  <c r="T125" i="1"/>
  <c r="U133" i="1"/>
  <c r="T133" i="1"/>
  <c r="U141" i="1"/>
  <c r="T141" i="1"/>
  <c r="U152" i="1"/>
  <c r="T152" i="1"/>
  <c r="AU152" i="1"/>
  <c r="U162" i="1"/>
  <c r="T162" i="1"/>
  <c r="AU162" i="1"/>
  <c r="T4" i="1"/>
  <c r="T8" i="1"/>
  <c r="T12" i="1"/>
  <c r="T16" i="1"/>
  <c r="T20" i="1"/>
  <c r="T24" i="1"/>
  <c r="T28" i="1"/>
  <c r="T32" i="1"/>
  <c r="U41" i="1"/>
  <c r="AU41" i="1"/>
  <c r="U43" i="1"/>
  <c r="T47" i="1"/>
  <c r="T49" i="1"/>
  <c r="T55" i="1"/>
  <c r="U59" i="1"/>
  <c r="AU59" i="1"/>
  <c r="U71" i="1"/>
  <c r="AU71" i="1"/>
  <c r="U87" i="1"/>
  <c r="AU87" i="1"/>
  <c r="U95" i="1"/>
  <c r="AU95" i="1"/>
  <c r="U127" i="1"/>
  <c r="T127" i="1"/>
  <c r="U135" i="1"/>
  <c r="T135" i="1"/>
  <c r="U143" i="1"/>
  <c r="T143" i="1"/>
  <c r="U150" i="1"/>
  <c r="T150" i="1"/>
  <c r="AU150" i="1"/>
  <c r="U158" i="1"/>
  <c r="T158" i="1"/>
  <c r="AU158" i="1"/>
  <c r="U44" i="1"/>
  <c r="U45" i="1"/>
  <c r="AU45" i="1"/>
  <c r="U47" i="1"/>
  <c r="T48" i="1"/>
  <c r="U56" i="1"/>
  <c r="AU57" i="1"/>
  <c r="U57" i="1"/>
  <c r="T71" i="1"/>
  <c r="U75" i="1"/>
  <c r="AU75" i="1"/>
  <c r="U76" i="1"/>
  <c r="U79" i="1"/>
  <c r="AU79" i="1"/>
  <c r="U80" i="1"/>
  <c r="T87" i="1"/>
  <c r="U89" i="1"/>
  <c r="AU89" i="1"/>
  <c r="T95" i="1"/>
  <c r="U97" i="1"/>
  <c r="AU97" i="1"/>
  <c r="U101" i="1"/>
  <c r="U103" i="1"/>
  <c r="U105" i="1"/>
  <c r="U107" i="1"/>
  <c r="U109" i="1"/>
  <c r="U111" i="1"/>
  <c r="U113" i="1"/>
  <c r="U115" i="1"/>
  <c r="U117" i="1"/>
  <c r="U119" i="1"/>
  <c r="U121" i="1"/>
  <c r="U129" i="1"/>
  <c r="T129" i="1"/>
  <c r="U137" i="1"/>
  <c r="T137" i="1"/>
  <c r="U148" i="1"/>
  <c r="T148" i="1"/>
  <c r="AU148" i="1"/>
  <c r="U156" i="1"/>
  <c r="T156" i="1"/>
  <c r="AU156" i="1"/>
  <c r="U145" i="1"/>
  <c r="U147" i="1"/>
  <c r="U149" i="1"/>
  <c r="U151" i="1"/>
  <c r="U153" i="1"/>
  <c r="U155" i="1"/>
  <c r="U157" i="1"/>
  <c r="U160" i="1"/>
  <c r="U163" i="1"/>
  <c r="AU78" i="1"/>
  <c r="AU82" i="1"/>
  <c r="AU100" i="1"/>
  <c r="AU102" i="1"/>
  <c r="AU104" i="1"/>
  <c r="AU106" i="1"/>
  <c r="AU108" i="1"/>
  <c r="AU110" i="1"/>
  <c r="AU112" i="1"/>
  <c r="AU114" i="1"/>
  <c r="AU116" i="1"/>
  <c r="AU118" i="1"/>
  <c r="AU120" i="1"/>
  <c r="W170" i="1" l="1"/>
  <c r="X170" i="1"/>
  <c r="Y170" i="1"/>
  <c r="Z170" i="1"/>
  <c r="AA170" i="1"/>
  <c r="AB170" i="1"/>
  <c r="AC170" i="1"/>
  <c r="AD170" i="1"/>
  <c r="AE170" i="1"/>
  <c r="V170" i="1"/>
  <c r="AT164" i="1" l="1"/>
  <c r="AT165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52" i="1"/>
  <c r="AT253" i="1"/>
  <c r="AT254" i="1"/>
  <c r="AT255" i="1"/>
  <c r="AT256" i="1"/>
  <c r="AT257" i="1"/>
  <c r="AT258" i="1"/>
  <c r="AT259" i="1"/>
  <c r="AT260" i="1"/>
  <c r="AT261" i="1"/>
  <c r="AT262" i="1"/>
  <c r="AT263" i="1"/>
  <c r="AT264" i="1"/>
  <c r="AT265" i="1"/>
  <c r="R164" i="1" l="1"/>
  <c r="S164" i="1"/>
  <c r="R165" i="1"/>
  <c r="S165" i="1"/>
  <c r="R167" i="1"/>
  <c r="S167" i="1"/>
  <c r="R168" i="1"/>
  <c r="S168" i="1"/>
  <c r="R169" i="1"/>
  <c r="S169" i="1"/>
  <c r="I170" i="1"/>
  <c r="J170" i="1"/>
  <c r="K170" i="1"/>
  <c r="L170" i="1"/>
  <c r="M170" i="1"/>
  <c r="N170" i="1"/>
  <c r="O170" i="1"/>
  <c r="P170" i="1"/>
  <c r="Q170" i="1"/>
  <c r="H170" i="1"/>
  <c r="U168" i="1" l="1"/>
  <c r="U164" i="1"/>
  <c r="T169" i="1"/>
  <c r="T167" i="1"/>
  <c r="U169" i="1"/>
  <c r="U165" i="1"/>
  <c r="T165" i="1"/>
  <c r="U167" i="1"/>
  <c r="T168" i="1"/>
  <c r="T164" i="1"/>
  <c r="AU164" i="1" l="1"/>
  <c r="AU165" i="1"/>
  <c r="AU167" i="1"/>
  <c r="AU168" i="1"/>
  <c r="AU169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S170" i="1" l="1"/>
  <c r="R170" i="1"/>
  <c r="AU170" i="1" s="1"/>
  <c r="T170" i="1" l="1"/>
  <c r="U170" i="1"/>
  <c r="R240" i="1"/>
  <c r="AU240" i="1" s="1"/>
  <c r="R241" i="1"/>
  <c r="AU241" i="1" s="1"/>
  <c r="R242" i="1"/>
  <c r="AU242" i="1" s="1"/>
  <c r="R243" i="1"/>
  <c r="AU243" i="1" s="1"/>
  <c r="R244" i="1"/>
  <c r="AU244" i="1" s="1"/>
  <c r="R245" i="1"/>
  <c r="AU245" i="1" s="1"/>
  <c r="R246" i="1"/>
  <c r="AU246" i="1" s="1"/>
  <c r="R247" i="1"/>
  <c r="AU247" i="1" s="1"/>
  <c r="R248" i="1"/>
  <c r="AU248" i="1" s="1"/>
  <c r="R249" i="1"/>
  <c r="AU249" i="1" s="1"/>
  <c r="R250" i="1"/>
  <c r="AU250" i="1" s="1"/>
  <c r="R251" i="1"/>
  <c r="AU251" i="1" s="1"/>
  <c r="R252" i="1"/>
  <c r="AU252" i="1" s="1"/>
  <c r="R253" i="1"/>
  <c r="AU253" i="1" s="1"/>
  <c r="R254" i="1"/>
  <c r="AU254" i="1" s="1"/>
  <c r="R255" i="1"/>
  <c r="AU255" i="1" s="1"/>
  <c r="R256" i="1"/>
  <c r="AU256" i="1" s="1"/>
  <c r="R257" i="1"/>
  <c r="AU257" i="1" s="1"/>
  <c r="R258" i="1"/>
  <c r="AU258" i="1" s="1"/>
  <c r="R259" i="1"/>
  <c r="AU259" i="1" s="1"/>
  <c r="R260" i="1"/>
  <c r="AU260" i="1" s="1"/>
  <c r="R261" i="1"/>
  <c r="AU261" i="1" s="1"/>
  <c r="R262" i="1"/>
  <c r="AU262" i="1" s="1"/>
  <c r="R263" i="1"/>
  <c r="AU263" i="1" s="1"/>
  <c r="R264" i="1"/>
  <c r="AU264" i="1" s="1"/>
  <c r="R265" i="1"/>
  <c r="AU265" i="1" s="1"/>
  <c r="S240" i="1" l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U240" i="1" l="1"/>
  <c r="U241" i="1"/>
  <c r="U242" i="1"/>
  <c r="U243" i="1"/>
  <c r="U244" i="1"/>
  <c r="U245" i="1"/>
  <c r="T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T262" i="1"/>
  <c r="U263" i="1"/>
  <c r="U264" i="1"/>
  <c r="U265" i="1"/>
  <c r="T263" i="1" l="1"/>
  <c r="T247" i="1"/>
  <c r="T259" i="1"/>
  <c r="T243" i="1"/>
  <c r="T255" i="1"/>
  <c r="T251" i="1"/>
  <c r="U262" i="1"/>
  <c r="U246" i="1"/>
  <c r="T258" i="1"/>
  <c r="T254" i="1"/>
  <c r="T250" i="1"/>
  <c r="T242" i="1"/>
  <c r="T265" i="1"/>
  <c r="T261" i="1"/>
  <c r="T257" i="1"/>
  <c r="T253" i="1"/>
  <c r="T249" i="1"/>
  <c r="T245" i="1"/>
  <c r="T241" i="1"/>
  <c r="T264" i="1"/>
  <c r="T260" i="1"/>
  <c r="T256" i="1"/>
  <c r="T252" i="1"/>
  <c r="T248" i="1"/>
  <c r="T244" i="1"/>
  <c r="T240" i="1"/>
</calcChain>
</file>

<file path=xl/sharedStrings.xml><?xml version="1.0" encoding="utf-8"?>
<sst xmlns="http://schemas.openxmlformats.org/spreadsheetml/2006/main" count="4943" uniqueCount="1960">
  <si>
    <t>CAMP DÉCLARÉ AU TITRE DE L'ACCUEIL DE SCOUTISME</t>
  </si>
  <si>
    <t>PRÉCISEZ LES GROUPES SUR LE CAMP DE REGROUPEMENT</t>
  </si>
  <si>
    <t>DATE DE DÉBUT DU CAMP</t>
  </si>
  <si>
    <t>DATE DE FIN DU CAMP</t>
  </si>
  <si>
    <t>EFFECTIFS PRÉVISIONNELS LUTINS</t>
  </si>
  <si>
    <t>EFFECTIFS PRÉVISIONNELS RESPONSABLE LUTINS</t>
  </si>
  <si>
    <t>EFFECTIFS PRÉVISIONNELS LOUVETEAUX</t>
  </si>
  <si>
    <t>EFFECTIFS PRÉVISIONNELS RESPONSABLE LOUVETEAUX</t>
  </si>
  <si>
    <t>EFFECTIFS PRÉVISIONNELS ÉCLAIREUSES- ÉCLAIREURS</t>
  </si>
  <si>
    <t>EFFECTIFS PRÉVISIONNELS RESPONSABLE ÉCLAIREUSES- ÉCLAIREURS</t>
  </si>
  <si>
    <t>EFFECTIFS PRÉVISIONNELS AINÉS</t>
  </si>
  <si>
    <t>EFFECTIFS PRÉVISIONNELS RESPONSABLE AINÉS</t>
  </si>
  <si>
    <t>EFFECTIFS PRÉVISIONNELS NOMADES</t>
  </si>
  <si>
    <t>EFFECTIFS PRÉVISIONNELS AUTRES ENCADREMENTS</t>
  </si>
  <si>
    <t>IMPLANTATION DU CAMP</t>
  </si>
  <si>
    <t>SI LE CAMP EST Á L'ÉTRANGER PRÉCISÉ LE PAYS</t>
  </si>
  <si>
    <t>SOUHAITE PARTICIPER Á VIS MON CAMP</t>
  </si>
  <si>
    <t>DÉNOMINATION ET ADRESSE PRÉCISE DU CAMP</t>
  </si>
  <si>
    <t>NOM ET PRÉNOM DU DIRECTEUR</t>
  </si>
  <si>
    <t>MAIL DU DIRECTEUR</t>
  </si>
  <si>
    <t>TÉLÉPHONE DU DIRECTEUR</t>
  </si>
  <si>
    <t>NOM ET PRÉNOM DE L'ORGANISATEUR</t>
  </si>
  <si>
    <t>TOTAL PART</t>
  </si>
  <si>
    <t>TOTAL
ENCADREMENT</t>
  </si>
  <si>
    <t>TAUX 
ENCADREMENT</t>
  </si>
  <si>
    <t>Résultats
 Lutins</t>
  </si>
  <si>
    <t>Résultats
 Responsables
Lutins</t>
  </si>
  <si>
    <t>Résultats 
LVX</t>
  </si>
  <si>
    <t>Résultats
Responsables
LVX</t>
  </si>
  <si>
    <t>Résultats 
Eclés</t>
  </si>
  <si>
    <t>Résultats
 Responsables
 Eclés</t>
  </si>
  <si>
    <t>Résultats
 Aînés</t>
  </si>
  <si>
    <t>Résultats 
Responsables
 Aînés</t>
  </si>
  <si>
    <t>Autres
Encadrements</t>
  </si>
  <si>
    <t>DPT DU LIEU DU CAMP</t>
  </si>
  <si>
    <t>MOIS DU CAMP</t>
  </si>
  <si>
    <t>TYPE</t>
  </si>
  <si>
    <t>RÉGION OU PAYS D'ACCUEIL</t>
  </si>
  <si>
    <t xml:space="preserve">RÉGION
ou
RÉGION DE RATTACHEMENT DE L'ORGANISATEUR
</t>
  </si>
  <si>
    <t>LIEU DU CAMP EN France</t>
  </si>
  <si>
    <t>TOTAL DE PARTICIPANTS</t>
  </si>
  <si>
    <t xml:space="preserve">STRUCTURE ORGANISATRICE DU CAMP
</t>
  </si>
  <si>
    <t>JAE- NOMADES</t>
  </si>
  <si>
    <t>Languedoc Roussillon</t>
  </si>
  <si>
    <t>LARTIGUE Philippe</t>
  </si>
  <si>
    <t>Argelès</t>
  </si>
  <si>
    <t>Sitges (Espagne)</t>
  </si>
  <si>
    <t>Camping le Roussillonnais : boulevard de la Mer 66702 ARGELÈS SUR MER
Camping Sitges : Ctra KM 246a 38. 08870 SITGES (Espagne)</t>
  </si>
  <si>
    <t>LEBEGUE Christophe</t>
  </si>
  <si>
    <t>lebeguech@numericable.fr</t>
  </si>
  <si>
    <t>Oui</t>
  </si>
  <si>
    <t>07</t>
  </si>
  <si>
    <t>Midi Pyrénées</t>
  </si>
  <si>
    <t>G</t>
  </si>
  <si>
    <t>Auvergne</t>
  </si>
  <si>
    <t>CORBARA Alexis</t>
  </si>
  <si>
    <t>La Merlerie
La Meute</t>
  </si>
  <si>
    <t>Viscomtat</t>
  </si>
  <si>
    <t>BANDA Alexandre</t>
  </si>
  <si>
    <t>alexandre.banda@outlook.com</t>
  </si>
  <si>
    <t>oui</t>
  </si>
  <si>
    <t>Vichy</t>
  </si>
  <si>
    <t>DELANNOIS Michel</t>
  </si>
  <si>
    <t>husky046@gmail.com</t>
  </si>
  <si>
    <t>Camp de groupe</t>
  </si>
  <si>
    <t>Camp fixe sous tente sans appui en dur</t>
  </si>
  <si>
    <t>Parnay</t>
  </si>
  <si>
    <t>Edouard Pisani-Ferry Champ des Frênes, Château de Targés 49730 PARNAY</t>
  </si>
  <si>
    <t>Pays de la Loire</t>
  </si>
  <si>
    <t>Puy en Velay</t>
  </si>
  <si>
    <t>Camp de regroupement d'unité Ainés</t>
  </si>
  <si>
    <t>Limoges
Paris Est</t>
  </si>
  <si>
    <t>Camp fixe 
avec appui en dur</t>
  </si>
  <si>
    <t>Brousse le Château</t>
  </si>
  <si>
    <t>BLANCHARD Timothé</t>
  </si>
  <si>
    <t>timothe__blanchard@hotmail.fr</t>
  </si>
  <si>
    <t>Cournon</t>
  </si>
  <si>
    <t>AUDIER Marie Noëlle</t>
  </si>
  <si>
    <t>Madagascar</t>
  </si>
  <si>
    <t>La Motte en Champsaur</t>
  </si>
  <si>
    <t>Centre EEDF Les Molines 05500 LA MOTTE EN CHAMPSAUR</t>
  </si>
  <si>
    <t>Mamy RAKOTCHARINIVO 17 rue Stefani Amparibe BP 1415 ANATLAKELY-101 ANTANANARIVO MADAGASCAR</t>
  </si>
  <si>
    <t>SUDRE Lucille</t>
  </si>
  <si>
    <t>BISSON Odeline</t>
  </si>
  <si>
    <t>lucilesudre63@gmail.com</t>
  </si>
  <si>
    <t>odelinebisson@hotmail.com</t>
  </si>
  <si>
    <t>?</t>
  </si>
  <si>
    <t>07/08</t>
  </si>
  <si>
    <t>05</t>
  </si>
  <si>
    <t>PACA</t>
  </si>
  <si>
    <t>Cassiopée</t>
  </si>
  <si>
    <t>Montredon Labessonnie</t>
  </si>
  <si>
    <t>M. ou Mme Courtarel Bouisset La Borie Maigre 82360 MONTREDON LABESSONNIE</t>
  </si>
  <si>
    <t>SANQUER Léo</t>
  </si>
  <si>
    <t>leosanquer@laposte.net</t>
  </si>
  <si>
    <t>82</t>
  </si>
  <si>
    <t>Royat Chamalière</t>
  </si>
  <si>
    <t>TRUCHASSOU Floriane</t>
  </si>
  <si>
    <t>Queaux</t>
  </si>
  <si>
    <t>86</t>
  </si>
  <si>
    <t>Poitou Charente</t>
  </si>
  <si>
    <t>Loche Beaulieu</t>
  </si>
  <si>
    <t>Centre</t>
  </si>
  <si>
    <t>FOUSSIER Suzanne</t>
  </si>
  <si>
    <t>Espinchal</t>
  </si>
  <si>
    <t>Mairie Espinchal 63850 ESPINCHAL</t>
  </si>
  <si>
    <t>DUBERNAY Christophe</t>
  </si>
  <si>
    <t>christophe.dubernay@gmail.com</t>
  </si>
  <si>
    <t>63</t>
  </si>
  <si>
    <t>Ventoux</t>
  </si>
  <si>
    <t>Hellemmes</t>
  </si>
  <si>
    <t>Hauts de France</t>
  </si>
  <si>
    <t>HELEVAUT Cathy</t>
  </si>
  <si>
    <t>cathy.helevaut@gmail.com</t>
  </si>
  <si>
    <t>Luzy</t>
  </si>
  <si>
    <t>Château de Chijy 58170 LUZY</t>
  </si>
  <si>
    <t>DECHERF Caroline</t>
  </si>
  <si>
    <t>caroline.decherf@gmail.com</t>
  </si>
  <si>
    <t>58</t>
  </si>
  <si>
    <t>Bourgogne</t>
  </si>
  <si>
    <t>Gravelines</t>
  </si>
  <si>
    <t>Fontaine en Bray</t>
  </si>
  <si>
    <t>08</t>
  </si>
  <si>
    <t>76</t>
  </si>
  <si>
    <t>Normandie</t>
  </si>
  <si>
    <t>Lille 3</t>
  </si>
  <si>
    <t>Plumelec</t>
  </si>
  <si>
    <t>Eva Bonnel Le Guer 56420 PLUMELEC</t>
  </si>
  <si>
    <t>DERACHE Adrien</t>
  </si>
  <si>
    <t>adrien@derache.eu</t>
  </si>
  <si>
    <t>56</t>
  </si>
  <si>
    <t>Bretagne</t>
  </si>
  <si>
    <t>Villeneuve d'Ascq</t>
  </si>
  <si>
    <t>Itinérant</t>
  </si>
  <si>
    <t>Bécours</t>
  </si>
  <si>
    <t>République Tchèque</t>
  </si>
  <si>
    <t>_</t>
  </si>
  <si>
    <t>Association ICART ferme pédagogique 167 rue du Bourg 76440 FONTAINE EN BRAY</t>
  </si>
  <si>
    <t>sandrine.srine@gmail.com</t>
  </si>
  <si>
    <t>MAXIMY Sandrine</t>
  </si>
  <si>
    <t>RINGOT Victor</t>
  </si>
  <si>
    <t>Hazebrouck</t>
  </si>
  <si>
    <t>Ferrière sur Beaulieu</t>
  </si>
  <si>
    <t>DUMORTIER WOLF Lucie</t>
  </si>
  <si>
    <t>secretaire.eedfjulesverne@gmail.com</t>
  </si>
  <si>
    <t>37</t>
  </si>
  <si>
    <t>Centre de Morbecque</t>
  </si>
  <si>
    <t>Croque vacances</t>
  </si>
  <si>
    <t>Camp fixe sous tente avec appui en dur</t>
  </si>
  <si>
    <t>Morbecque</t>
  </si>
  <si>
    <t>DECONINCK Jordan</t>
  </si>
  <si>
    <t>deconinck.jordan@gmail.com</t>
  </si>
  <si>
    <t>59</t>
  </si>
  <si>
    <t>Hauts de france</t>
  </si>
  <si>
    <t>C</t>
  </si>
  <si>
    <t>DRUVENT Romain</t>
  </si>
  <si>
    <t>romaindruvent@gmail.com</t>
  </si>
  <si>
    <t>ENGLOO Aurélie</t>
  </si>
  <si>
    <t>aurelie.engloo@gmail.com</t>
  </si>
  <si>
    <t>LATRECH Rachel</t>
  </si>
  <si>
    <t>latrech.rachel@gmail.com</t>
  </si>
  <si>
    <t>Loon Plage</t>
  </si>
  <si>
    <t>HOGARD Christian</t>
  </si>
  <si>
    <t>ch-hogard@hotmail.com</t>
  </si>
  <si>
    <t>Aragnouet</t>
  </si>
  <si>
    <t>HOGART Christian</t>
  </si>
  <si>
    <t>65</t>
  </si>
  <si>
    <t>Ferme Doulet Ville de Gravelines rue C. Leurette 59820 GRAVELINES</t>
  </si>
  <si>
    <t>Lambersart</t>
  </si>
  <si>
    <t>FOUACHE Christophe</t>
  </si>
  <si>
    <t>christophe-fouache@orange.fr</t>
  </si>
  <si>
    <t>Mialet</t>
  </si>
  <si>
    <t>Jacqueline Verdailhan et M JC Bruhamer la Rouquette 30140 MIALET</t>
  </si>
  <si>
    <t>30</t>
  </si>
  <si>
    <t>Bègles</t>
  </si>
  <si>
    <t>Nouvelle Aquitaine</t>
  </si>
  <si>
    <t>MILON Philippe</t>
  </si>
  <si>
    <t>philippemilon@free.fr</t>
  </si>
  <si>
    <t>Camp d'unité louveteaux</t>
  </si>
  <si>
    <t>Eygurande et Gardedeuil</t>
  </si>
  <si>
    <t>Camil Lansmarie Bost du Loup 24700 EYGURANDE ET GARDEDEUIL</t>
  </si>
  <si>
    <t>24</t>
  </si>
  <si>
    <t>Talence</t>
  </si>
  <si>
    <t>jean-baptiste.desbrunais@laposte.net</t>
  </si>
  <si>
    <t>DESBRUNAIS Jean Baptiste</t>
  </si>
  <si>
    <t>Les Graulges</t>
  </si>
  <si>
    <t>Morvan Eric Malut
 24340 LES GRAULGES</t>
  </si>
  <si>
    <t>Bordeaux V</t>
  </si>
  <si>
    <t>RUMEAU LARROUTUROU Isabelle</t>
  </si>
  <si>
    <t>DE LA JOUSSELINIERE Ronan</t>
  </si>
  <si>
    <t>rdlj@sfr.fr</t>
  </si>
  <si>
    <t>79</t>
  </si>
  <si>
    <t>Limoges</t>
  </si>
  <si>
    <t>ALAIS François</t>
  </si>
  <si>
    <t>Le Bugue</t>
  </si>
  <si>
    <t xml:space="preserve">BLANCHER  Nathan
</t>
  </si>
  <si>
    <t>pro.nathan.blancher@gmail.com</t>
  </si>
  <si>
    <t>Mérignac</t>
  </si>
  <si>
    <t>GARDILLOU Claire</t>
  </si>
  <si>
    <t>eedfmerignac@gmail.com</t>
  </si>
  <si>
    <t>Pau
Tarbes</t>
  </si>
  <si>
    <t>Jacou</t>
  </si>
  <si>
    <t>Scoutisme Français Domaine de Viviers 34830 JACOU</t>
  </si>
  <si>
    <t>DASSONVILLE Tanguy</t>
  </si>
  <si>
    <t>34</t>
  </si>
  <si>
    <t>Camp d'unité éclés</t>
  </si>
  <si>
    <t>Itinérants</t>
  </si>
  <si>
    <t>ROUSSELET Léa</t>
  </si>
  <si>
    <t>lea@rfpa.com</t>
  </si>
  <si>
    <t>Entre deux Mer</t>
  </si>
  <si>
    <t>BONNEAU Charley Mathilde</t>
  </si>
  <si>
    <t>St Christophec de  Double</t>
  </si>
  <si>
    <t>26 lieu dit Chaux 33230 SAINT CHRISTOPHE DE DOUBLE</t>
  </si>
  <si>
    <t>LUKOVIC Snéjana</t>
  </si>
  <si>
    <t>snejana.lukovic@gmail.com</t>
  </si>
  <si>
    <t>33</t>
  </si>
  <si>
    <t>POLONI Claudine</t>
  </si>
  <si>
    <t>Italie</t>
  </si>
  <si>
    <t>POLONI Alexandre</t>
  </si>
  <si>
    <t>polonialexandre@yahoo.fr</t>
  </si>
  <si>
    <t>Montredon Labessonnié</t>
  </si>
  <si>
    <t>Association Légambienté Paestum, Pasquale Longo Legambienté Paestum Via Magna Graecia - Torre 27 (area archeologica) 84047 Capaccio Paestum</t>
  </si>
  <si>
    <t>MARQUES Mélanie</t>
  </si>
  <si>
    <t>melanie.marques81@laposte.net</t>
  </si>
  <si>
    <t>DUZES Christelle</t>
  </si>
  <si>
    <t xml:space="preserve">CNGEI SEDE Centrale Viale Di Val Fioita BRR0144 ROMA </t>
  </si>
  <si>
    <t>Pau</t>
  </si>
  <si>
    <t>LASPLACES Claire</t>
  </si>
  <si>
    <t>Serbie
Croatie</t>
  </si>
  <si>
    <t>Serbian Scout Jamborée à Ada Ciganlija près de Belgrade du 27/07/2018 au 5/08/2018 puis en Croatie</t>
  </si>
  <si>
    <t>CHAMPIER Daniel</t>
  </si>
  <si>
    <t>daniel.champier@univ-pau.fr</t>
  </si>
  <si>
    <t>Sud Cevennes</t>
  </si>
  <si>
    <t>BORDESSOULLES Alain</t>
  </si>
  <si>
    <t>alainsud7.eedf@orange.fr</t>
  </si>
  <si>
    <t>Conqueyrac</t>
  </si>
  <si>
    <t>Accueil Montfortain la Gardiolle 30170 CONQUEYRAC</t>
  </si>
  <si>
    <t>Golbey</t>
  </si>
  <si>
    <t>Grand Est</t>
  </si>
  <si>
    <t>DURPOIX Alain</t>
  </si>
  <si>
    <t>Verrières</t>
  </si>
  <si>
    <t>EEDF Centre de Bécours Hameau de Bécours 12520 VERRIERES</t>
  </si>
  <si>
    <t>HEURTAUT Mélanie</t>
  </si>
  <si>
    <t>mel.heurtaut@gmail.com</t>
  </si>
  <si>
    <t>12</t>
  </si>
  <si>
    <t>Marseille II</t>
  </si>
  <si>
    <t>PAM</t>
  </si>
  <si>
    <t>MAUDUIT Jehanne</t>
  </si>
  <si>
    <t>Montbolo</t>
  </si>
  <si>
    <t>Scouts et guide de france Can et Mire 66110 MONTBOLO</t>
  </si>
  <si>
    <t>ORGANNI Florent</t>
  </si>
  <si>
    <t>florent.org@hotmail.fr</t>
  </si>
  <si>
    <t>66</t>
  </si>
  <si>
    <t>itinérant  (12)</t>
  </si>
  <si>
    <t>Castres</t>
  </si>
  <si>
    <t>PILLARD Christian</t>
  </si>
  <si>
    <t>COUTAREL Germain</t>
  </si>
  <si>
    <t>germain.coutarel@hotmail.fr</t>
  </si>
  <si>
    <t>Albi</t>
  </si>
  <si>
    <t>CHAPRON Eliane</t>
  </si>
  <si>
    <t>Thierry Roussel La Rivière 12270 NAJAC</t>
  </si>
  <si>
    <t>VIALAT Margot</t>
  </si>
  <si>
    <t>margot.viala@gmail.com</t>
  </si>
  <si>
    <t>LAGIER Eloan</t>
  </si>
  <si>
    <t>eloanlagier@yahoo.fr</t>
  </si>
  <si>
    <t>Carmaux</t>
  </si>
  <si>
    <t>GALAN Elisabeth</t>
  </si>
  <si>
    <t>galang@wanadoo.fr</t>
  </si>
  <si>
    <t>Odyssée</t>
  </si>
  <si>
    <t>Irlande</t>
  </si>
  <si>
    <t>Association Irlandaise de Scoutisme Scouting Stabauy Hall Comt D5 Ladis Treland Clifdon Camping Shanamsever IRLANDE</t>
  </si>
  <si>
    <t>BRAULT Elise</t>
  </si>
  <si>
    <t>elisebrault@gmail.com</t>
  </si>
  <si>
    <t>DANGOUMAU Laura</t>
  </si>
  <si>
    <t>laura.dangoumau@wanadoo.fr</t>
  </si>
  <si>
    <t>LAVIE Rénold</t>
  </si>
  <si>
    <t>renold.lavie@outlook.com</t>
  </si>
  <si>
    <t>Nantes</t>
  </si>
  <si>
    <t>CHARPENTIER Edith</t>
  </si>
  <si>
    <t>Base d'hébergement et guides de France Kerjuste 56700 KERVIGNAC</t>
  </si>
  <si>
    <t>CRIME Amanda</t>
  </si>
  <si>
    <t>lefevre.crime@yahoo.fr</t>
  </si>
  <si>
    <t>DIAZ MAURIN Rafael</t>
  </si>
  <si>
    <t>Rennes Montaigne</t>
  </si>
  <si>
    <t>La petite ferme de Kercaudan 868 Kercaudan Bourg 29930 PONT AVEN</t>
  </si>
  <si>
    <t>MASSARD François</t>
  </si>
  <si>
    <t>29</t>
  </si>
  <si>
    <t>La ferme d'Alzetta Vaccile Del Monte Muratello 20137 PORTO VECCHIO</t>
  </si>
  <si>
    <t>ROSE Clémence</t>
  </si>
  <si>
    <t>clemencerose35@yahoo.fr</t>
  </si>
  <si>
    <t>20</t>
  </si>
  <si>
    <t>Robinson</t>
  </si>
  <si>
    <t>RENAULT Jacques</t>
  </si>
  <si>
    <t>Camp de regroupement d'unité éclés</t>
  </si>
  <si>
    <t>Plume d'eau</t>
  </si>
  <si>
    <t>Guégan Jean Jacques Le petit Drugeon 35340 LA BOUEXIERE</t>
  </si>
  <si>
    <t>LE GALLE Simon</t>
  </si>
  <si>
    <t>simon.l.galle@gmail.com</t>
  </si>
  <si>
    <t>35</t>
  </si>
  <si>
    <t>St Malo</t>
  </si>
  <si>
    <t>STEPHANT François</t>
  </si>
  <si>
    <t>Maroc</t>
  </si>
  <si>
    <t>FAYSSE Antoine</t>
  </si>
  <si>
    <t>antoine.faysse@gmail.com</t>
  </si>
  <si>
    <t>St Brieuc</t>
  </si>
  <si>
    <t>TAILLEBOIS Virginie</t>
  </si>
  <si>
    <t>GAEC Radis &amp; Co La Garronnière 53240 MONTFLOURS</t>
  </si>
  <si>
    <t>ADAM Emmanuel</t>
  </si>
  <si>
    <t>qmanu.adamp@laposte.net</t>
  </si>
  <si>
    <t>BOULANGER Emmanuelle</t>
  </si>
  <si>
    <t>emmanuelle.boulanger25@outlook.fr</t>
  </si>
  <si>
    <t>53</t>
  </si>
  <si>
    <t>Lorient</t>
  </si>
  <si>
    <t>LAMARE Stéphane</t>
  </si>
  <si>
    <t>ROHAN</t>
  </si>
  <si>
    <t>Mairie de Rohan Terrain des Sports de Saint Simon 56580 ROHAN</t>
  </si>
  <si>
    <t>JAFFREZIC Marion</t>
  </si>
  <si>
    <t>mj.eedflorient@gmail.com</t>
  </si>
  <si>
    <t>Itinérant (56)</t>
  </si>
  <si>
    <t>PLUNIAN Patrick</t>
  </si>
  <si>
    <t>eedflorient@orange.fr</t>
  </si>
  <si>
    <t>Itinérant (63-30)</t>
  </si>
  <si>
    <t>BONNOT Marion</t>
  </si>
  <si>
    <t>aines.lorient@gmail.com</t>
  </si>
  <si>
    <t>Plume d'Eau</t>
  </si>
  <si>
    <t>MELI Catherine</t>
  </si>
  <si>
    <t>Terrain Porc épic Base de Bréhabert 49160 ST PHILBERT DU PEUPLE</t>
  </si>
  <si>
    <t>GUY Clément</t>
  </si>
  <si>
    <t>clement.g.guy@gmail.com</t>
  </si>
  <si>
    <t>49</t>
  </si>
  <si>
    <t>LE FOLL Christine</t>
  </si>
  <si>
    <t>Bretagne (Argonautes Rennes)</t>
  </si>
  <si>
    <t>Jean Loup Sluiman Ferme de Lapaloup 12550 COUPIAC
Camp itinérant</t>
  </si>
  <si>
    <t>LE BORGNE Léa</t>
  </si>
  <si>
    <t>leborgne.lea@outlook.fr</t>
  </si>
  <si>
    <t>LAVABRE Marianne</t>
  </si>
  <si>
    <t>Chez Mme Claire Vidal Faubourg du Peyral 34390 OLARGUES</t>
  </si>
  <si>
    <t>Pessac Cestas</t>
  </si>
  <si>
    <t>Najac</t>
  </si>
  <si>
    <t>Kervignac</t>
  </si>
  <si>
    <t>Pont Aven</t>
  </si>
  <si>
    <t>Porto Vecchio</t>
  </si>
  <si>
    <t>La Bouexiere</t>
  </si>
  <si>
    <t>Montflours</t>
  </si>
  <si>
    <t>Coupiac</t>
  </si>
  <si>
    <t>Olargues</t>
  </si>
  <si>
    <t>St Philbert du Peuple</t>
  </si>
  <si>
    <t>Les amis de St Cyrice 12480 BROUSSE LE CHÂTEAU</t>
  </si>
  <si>
    <t>Domaie Forestier de Randello à RAGUSA</t>
  </si>
  <si>
    <t>Caen Colombelle</t>
  </si>
  <si>
    <t>FRENOD Nicolas</t>
  </si>
  <si>
    <t>Camp de regroupement</t>
  </si>
  <si>
    <t>Rouen</t>
  </si>
  <si>
    <t>Pontchardon</t>
  </si>
  <si>
    <t>Vincent et Marie Levasseur ferme de l'Alliance la Bonnerie 61120 PONCHARDON</t>
  </si>
  <si>
    <t>SANCHEZ Charlie</t>
  </si>
  <si>
    <t>61</t>
  </si>
  <si>
    <t>- A :  &lt; 20 
- B : 21-50
- C : 51-80
- D &gt; 80</t>
  </si>
  <si>
    <t>- TN : N étant le nombre du taux</t>
  </si>
  <si>
    <t>T</t>
  </si>
  <si>
    <t>Camp d'unité Ainés</t>
  </si>
  <si>
    <t>Camp d'unité lutins</t>
  </si>
  <si>
    <t>Camp de regroupement d'unité louveaux</t>
  </si>
  <si>
    <t>Rochefort</t>
  </si>
  <si>
    <t>SALOMON THOMAS Nicole</t>
  </si>
  <si>
    <t>salomonicole@live.fr</t>
  </si>
  <si>
    <t>St Exupéry</t>
  </si>
  <si>
    <t>LESCUDE Isabelle</t>
  </si>
  <si>
    <t>Saurat</t>
  </si>
  <si>
    <t>09400 SAURAT</t>
  </si>
  <si>
    <t>GAUDRY Céline</t>
  </si>
  <si>
    <t>celine-zwierniak@hotmail.fr</t>
  </si>
  <si>
    <t>ESCUDE Isabelle</t>
  </si>
  <si>
    <t>09</t>
  </si>
  <si>
    <t>Hersain</t>
  </si>
  <si>
    <t>MENGUY Frédéric</t>
  </si>
  <si>
    <t>DUN</t>
  </si>
  <si>
    <t>Eychard Huguette 7 Cami du Mouli 09600 DUN</t>
  </si>
  <si>
    <t>GUIRAUD Damien</t>
  </si>
  <si>
    <t>damien.guiraud@outlook.fr</t>
  </si>
  <si>
    <t>St Cyprien</t>
  </si>
  <si>
    <t>PEGLIASCO Cori</t>
  </si>
  <si>
    <t>cori_eedf@mail.com</t>
  </si>
  <si>
    <t>Millau St Afrique</t>
  </si>
  <si>
    <t>Pampelonne</t>
  </si>
  <si>
    <t>81</t>
  </si>
  <si>
    <t>Camp de regroupement d'unité lutins</t>
  </si>
  <si>
    <t>BOUZOU Anaïs</t>
  </si>
  <si>
    <t>anais.bouzou@gmail.com</t>
  </si>
  <si>
    <t>Corbeil Essonnes</t>
  </si>
  <si>
    <t>Ile de France</t>
  </si>
  <si>
    <t>BARON Agnès</t>
  </si>
  <si>
    <t>eedf-corbeil@live.fr</t>
  </si>
  <si>
    <t>Vitry sur Loges</t>
  </si>
  <si>
    <t>Association Henri 1 er Terrain de l'étoile 40 route des Caduels 45530 VITRY SUR LOGES</t>
  </si>
  <si>
    <t>45</t>
  </si>
  <si>
    <t>Paris Est</t>
  </si>
  <si>
    <t>MANGIN Aube</t>
  </si>
  <si>
    <t>Roannes St Mary</t>
  </si>
  <si>
    <t>M.Jean Jacques Richart Outier 15220 ROANNES ST MARY</t>
  </si>
  <si>
    <t>DAMERVAL Camille</t>
  </si>
  <si>
    <t>cam.damerval@gmail.com</t>
  </si>
  <si>
    <t>15</t>
  </si>
  <si>
    <t>Ivry Lionel Terray</t>
  </si>
  <si>
    <t>MARTOUZET Aude</t>
  </si>
  <si>
    <t>Sartrouville</t>
  </si>
  <si>
    <t>Saint Pompain</t>
  </si>
  <si>
    <t>M. Guillaume Bichon Ferme de la Mantellerie 36 rue de la Mantellerie 79160 SAINT POMPAIN</t>
  </si>
  <si>
    <t>POIGNANT Romain</t>
  </si>
  <si>
    <t>romain.poignant@free.fr</t>
  </si>
  <si>
    <t>Sartrouville
Bègles</t>
  </si>
  <si>
    <t>TAUGON</t>
  </si>
  <si>
    <t>Mairie de Taugon Camping municipal de Taugon 1 rue du Marais 17170 Tugon</t>
  </si>
  <si>
    <t>17</t>
  </si>
  <si>
    <t>Boulogne Laperouse</t>
  </si>
  <si>
    <t>DE LAPOYADE Dorothée</t>
  </si>
  <si>
    <t>Etueffont</t>
  </si>
  <si>
    <t>HERVE Thibault</t>
  </si>
  <si>
    <t>thibault_rv@hotmail.fr</t>
  </si>
  <si>
    <t>90</t>
  </si>
  <si>
    <t>Franche Comté</t>
  </si>
  <si>
    <t>Côte d'Ivoire</t>
  </si>
  <si>
    <t>Eclaireuses Laïque de Côte d'Ivoire Centre Kimou N'Guessan Faustin Agbaville Côte d'Ivoire</t>
  </si>
  <si>
    <t>ANTITENE Stéphanie</t>
  </si>
  <si>
    <t>antitenes@gmail.com</t>
  </si>
  <si>
    <t>Belmont</t>
  </si>
  <si>
    <t>Le Château 32190 BELMONT</t>
  </si>
  <si>
    <t>MICHEL Théo</t>
  </si>
  <si>
    <t>dj-to@live.fr</t>
  </si>
  <si>
    <t>32</t>
  </si>
  <si>
    <t>Ariège/Foix</t>
  </si>
  <si>
    <t>RODIER Alice</t>
  </si>
  <si>
    <t>Larrau</t>
  </si>
  <si>
    <t>Mairie de Iraty Chalets d'Iraty Camping municipale 64560 LARRAU</t>
  </si>
  <si>
    <t>IBRAHIM Rabouanti</t>
  </si>
  <si>
    <t>rabouantibrahime@hotmail.fr</t>
  </si>
  <si>
    <t>64</t>
  </si>
  <si>
    <t>Aquitaine</t>
  </si>
  <si>
    <t>IMART Alexia</t>
  </si>
  <si>
    <t>alexia.imart@cegetel.net</t>
  </si>
  <si>
    <t>Bois Colombes</t>
  </si>
  <si>
    <t>FOURNIER Alain</t>
  </si>
  <si>
    <t>Serent</t>
  </si>
  <si>
    <t>Bertrand Lecadre Lieu Dit Trévero 56460 SERENT</t>
  </si>
  <si>
    <t>THABEAU Clotilde</t>
  </si>
  <si>
    <t>clotilde.thabeau@gmail.com</t>
  </si>
  <si>
    <t>Dinan</t>
  </si>
  <si>
    <t>RUCAY Géraldine</t>
  </si>
  <si>
    <t>Foussais Payre</t>
  </si>
  <si>
    <t>Le Bourg 85240 FOUSSAIS PAYRE</t>
  </si>
  <si>
    <t>DANIEL Nicole</t>
  </si>
  <si>
    <t>daniel.nicole28@orange.fr</t>
  </si>
  <si>
    <t>85</t>
  </si>
  <si>
    <t>Haut Val de Marne</t>
  </si>
  <si>
    <t>Ferrières sur Sichon</t>
  </si>
  <si>
    <t>Lieu dit Le Bréant 03250 FERRIERES SUR SICHON</t>
  </si>
  <si>
    <t>DETRILLE François</t>
  </si>
  <si>
    <t>francois.detrille@gmail.com</t>
  </si>
  <si>
    <t>MENDES ARMAND Virginia</t>
  </si>
  <si>
    <t>03</t>
  </si>
  <si>
    <t>Lyon Croix Rousse</t>
  </si>
  <si>
    <t>Rhône Alpes</t>
  </si>
  <si>
    <t>NEUFSELLE Gaspard</t>
  </si>
  <si>
    <t>Sri Lanka</t>
  </si>
  <si>
    <t>LAFONT Cedric</t>
  </si>
  <si>
    <t>celafont@live.fr</t>
  </si>
  <si>
    <t>Talant</t>
  </si>
  <si>
    <t>DEMARQUOY Caroline</t>
  </si>
  <si>
    <t>caroline@eedftalant.fr</t>
  </si>
  <si>
    <t>Maîche</t>
  </si>
  <si>
    <t>Camping municipal de Maîche 23 rue Saint Michel 25120 MAÎCHE</t>
  </si>
  <si>
    <t>25</t>
  </si>
  <si>
    <t>Dijon Marc d'Or</t>
  </si>
  <si>
    <t>ROSSIGNOL Nicolas</t>
  </si>
  <si>
    <t>nicolas.rossignol@bbox.fr</t>
  </si>
  <si>
    <t>Chezery Forens</t>
  </si>
  <si>
    <t>ROUSSIGNOL Nicolas</t>
  </si>
  <si>
    <t>01</t>
  </si>
  <si>
    <t xml:space="preserve">Montpellier 2 Béluga </t>
  </si>
  <si>
    <t xml:space="preserve">Montpellier 1 </t>
  </si>
  <si>
    <t>Valleraugue</t>
  </si>
  <si>
    <t>Aire Intercommunale de Camping de l'Espérou 30570 VALLERAUGUE</t>
  </si>
  <si>
    <t>CABILLIC Vincent</t>
  </si>
  <si>
    <t>v.cabillic@live.fr</t>
  </si>
  <si>
    <t>Paris 4 vents</t>
  </si>
  <si>
    <t>DEMACHY Alexandre</t>
  </si>
  <si>
    <t>Genté</t>
  </si>
  <si>
    <t>M.Joly 16 rue des Bélougeats 16110 GENTE</t>
  </si>
  <si>
    <t>CASTEL Stéphane</t>
  </si>
  <si>
    <t>16</t>
  </si>
  <si>
    <t>Lauragais</t>
  </si>
  <si>
    <t>BRYON Jacques</t>
  </si>
  <si>
    <t>Volvestre</t>
  </si>
  <si>
    <t>Curvalle</t>
  </si>
  <si>
    <t>Ferme de Burgas 81250 CURVALLE</t>
  </si>
  <si>
    <t>LOUPY Gaël</t>
  </si>
  <si>
    <t>loupyg@gmail.com</t>
  </si>
  <si>
    <t>Muret</t>
  </si>
  <si>
    <t>ARNEODO Pascale</t>
  </si>
  <si>
    <t>Camping de la Vallée du Roussy Vabre Route de Vabre 81330 VABRE</t>
  </si>
  <si>
    <t>ZIMPFER Claire Line</t>
  </si>
  <si>
    <t>claireline.zimpfer@laposte.net</t>
  </si>
  <si>
    <t>MERLET Christine</t>
  </si>
  <si>
    <t>EDF Labrioulette 31220 CAZERES SUR GARONNE</t>
  </si>
  <si>
    <t>BRETAUDEAU Martin</t>
  </si>
  <si>
    <t>martin.bretaudeau@orange.fr</t>
  </si>
  <si>
    <t>31</t>
  </si>
  <si>
    <t>Centre EEDF Fourcheval 81000 PAMPELONNE</t>
  </si>
  <si>
    <t>PARISOT Louis</t>
  </si>
  <si>
    <t>La Salvetat St Gilles</t>
  </si>
  <si>
    <t>BOISGARD Pascal</t>
  </si>
  <si>
    <t>Brahim BANTOUR Sidi Kahouki Surf Shop Plage de Sidi Kahoudi Maroc</t>
  </si>
  <si>
    <t>CLAVEAU Corinne</t>
  </si>
  <si>
    <t>corinne@claveau.net</t>
  </si>
  <si>
    <t>COSTES Sandrine</t>
  </si>
  <si>
    <t>COSTES Maxime</t>
  </si>
  <si>
    <t>costesmax@gmail.com</t>
  </si>
  <si>
    <t>ST Hilaire</t>
  </si>
  <si>
    <t>Neige Porte Logis des Vendangeurs 11250 ST HILAIRE</t>
  </si>
  <si>
    <t>ARNEODO Valentine</t>
  </si>
  <si>
    <t>valentine.arneodo@live.fr</t>
  </si>
  <si>
    <t>11</t>
  </si>
  <si>
    <t>Croatie</t>
  </si>
  <si>
    <t>PEDOUSSAUT Marlon</t>
  </si>
  <si>
    <t>Auch</t>
  </si>
  <si>
    <t>DISCONSI Cédric</t>
  </si>
  <si>
    <t>Montreuil</t>
  </si>
  <si>
    <t>CORDESSE Olivier</t>
  </si>
  <si>
    <t>Mairie de Queaux Camping municipal Le Renard route du Gré 86150 QUEAUX</t>
  </si>
  <si>
    <t>FAURE Océane</t>
  </si>
  <si>
    <t>oceane-faure@hotmail.fr</t>
  </si>
  <si>
    <t>COLOMBEL Pierre</t>
  </si>
  <si>
    <t>Beziers</t>
  </si>
  <si>
    <t>Perpignan</t>
  </si>
  <si>
    <t>RINALDI Philippe</t>
  </si>
  <si>
    <t>Montredon Labessonnié
Rennes Loups Blancs</t>
  </si>
  <si>
    <t>Les Pradals 81190 PAMPELONNE</t>
  </si>
  <si>
    <t>MARTNEZ Clément</t>
  </si>
  <si>
    <t>martinez.clement@gmail.com</t>
  </si>
  <si>
    <t>CHARMON Gaëlle</t>
  </si>
  <si>
    <t>Romagnat
Aurillac</t>
  </si>
  <si>
    <t>Mas d'Azil</t>
  </si>
  <si>
    <t>Base de Castagnes 09290 MAS D'AZIL</t>
  </si>
  <si>
    <t>COSTE Frédéric</t>
  </si>
  <si>
    <t>fred46c@gmail.com</t>
  </si>
  <si>
    <t>Dardilly</t>
  </si>
  <si>
    <t>HONOLD Marie</t>
  </si>
  <si>
    <t>Arcenant</t>
  </si>
  <si>
    <t>MOLLARD-FUENTES Marion (Maé)</t>
  </si>
  <si>
    <t>mae@ra.eedf.fr</t>
  </si>
  <si>
    <t>06 45 43 69 10</t>
  </si>
  <si>
    <t>21</t>
  </si>
  <si>
    <t>Agly</t>
  </si>
  <si>
    <t>MASSE Paulette</t>
  </si>
  <si>
    <t>06 07 65 63 57</t>
  </si>
  <si>
    <t>eedfagly@orange.fr</t>
  </si>
  <si>
    <t>Saint Pierre Dels Forcat</t>
  </si>
  <si>
    <t>Montpellier 3 Pic Saint Loup</t>
  </si>
  <si>
    <t>LUCAS Ombeline</t>
  </si>
  <si>
    <t>Montpellier 4 Ponyo</t>
  </si>
  <si>
    <t>Saussines</t>
  </si>
  <si>
    <t>Camp Rouget 34160 SAUSSINES</t>
  </si>
  <si>
    <t>VINCENT-FALQUET Nans</t>
  </si>
  <si>
    <t>06 61 08 49 53</t>
  </si>
  <si>
    <t>Montpellier V Champ Libre</t>
  </si>
  <si>
    <t>VILLEPONTOUX Stéphane</t>
  </si>
  <si>
    <t>Ceilhes et Rocozels</t>
  </si>
  <si>
    <t>Gites Lascours 34260 CEILHES et ROCOZELS</t>
  </si>
  <si>
    <t>CABILIC Vincent</t>
  </si>
  <si>
    <t>06 67 22 41 28</t>
  </si>
  <si>
    <t>MALET Pierre</t>
  </si>
  <si>
    <t>eedf.grasse@gmail.com</t>
  </si>
  <si>
    <t>Saint Laurent du Var</t>
  </si>
  <si>
    <t>Beaudan-Campan</t>
  </si>
  <si>
    <t>DALMASSO Charley</t>
  </si>
  <si>
    <t>Charley@eedf-saintlaurentduvar.info</t>
  </si>
  <si>
    <t>06 15 57 84 43</t>
  </si>
  <si>
    <t>Pays d'Arles</t>
  </si>
  <si>
    <t>JODON Dorothée</t>
  </si>
  <si>
    <t>eclaireursarles@free.fr</t>
  </si>
  <si>
    <t>Arre</t>
  </si>
  <si>
    <t>Mas Fouzette 30120 ARRE</t>
  </si>
  <si>
    <t>06 07 97 98 98</t>
  </si>
  <si>
    <t>Pays Bas</t>
  </si>
  <si>
    <t>Centre International Scouts et guides Zeewolde, Pays Bas</t>
  </si>
  <si>
    <t>Roverway 2018</t>
  </si>
  <si>
    <t>Siège National</t>
  </si>
  <si>
    <t>BISSON Didier</t>
  </si>
  <si>
    <t>Camp International</t>
  </si>
  <si>
    <t>06 36 80 45 14</t>
  </si>
  <si>
    <t>stephanimateur@live.fr</t>
  </si>
  <si>
    <t>marlon.pedoussaut@live.fr</t>
  </si>
  <si>
    <t>Hongrie
Macédoine</t>
  </si>
  <si>
    <t>JOURDAIN Maxime</t>
  </si>
  <si>
    <t>erimabou@hotmail.fr</t>
  </si>
  <si>
    <t>D'ABRESCIA Muriele</t>
  </si>
  <si>
    <t>St Bonnet en Champsaur</t>
  </si>
  <si>
    <t>Centre de vacances Marie Philippe Route de la Riole Le domaine
05500 ST BONNET EN CHAMPSAUR</t>
  </si>
  <si>
    <t>JOBBE DUVAL Céline</t>
  </si>
  <si>
    <t>co.jobbeduval@club-internet.fr</t>
  </si>
  <si>
    <t xml:space="preserve">Pertuis </t>
  </si>
  <si>
    <t>vincentfalqu2@gmail.com</t>
  </si>
  <si>
    <t>pierrecolombel@lilo.org</t>
  </si>
  <si>
    <t>sanchez.charlie1@gmail.com</t>
  </si>
  <si>
    <t>moaloulou@free.fr</t>
  </si>
  <si>
    <t>Bailleul</t>
  </si>
  <si>
    <t>Briançon</t>
  </si>
  <si>
    <t>ALLEGRE Arnaud</t>
  </si>
  <si>
    <t>Faimbe</t>
  </si>
  <si>
    <t>EEDF Base de Plein Air Faimbe
25250 FAIMBE</t>
  </si>
  <si>
    <t>VANDEMEULEBROUCK Chloé</t>
  </si>
  <si>
    <t>vdm.chloe@wanadoo.fr</t>
  </si>
  <si>
    <t>Aubagne Pays de l'étoile</t>
  </si>
  <si>
    <t>MASSON Sophie</t>
  </si>
  <si>
    <t>Marseille Numankake</t>
  </si>
  <si>
    <t>St Laurent Médoc</t>
  </si>
  <si>
    <t>M. et Mme Jean Christophe Clemenceau 20 le Ferron 
31112 SAINT LAURENT MEDOC</t>
  </si>
  <si>
    <t>DOLIAS Laurent</t>
  </si>
  <si>
    <t>ldolias@free.fr</t>
  </si>
  <si>
    <t>Grenoble</t>
  </si>
  <si>
    <t>SALIN Guillaume</t>
  </si>
  <si>
    <t>Crolles
Fontaine</t>
  </si>
  <si>
    <t>Danemark</t>
  </si>
  <si>
    <t>St Auban</t>
  </si>
  <si>
    <t>Spejderhuset Egelund Hassellunden 2 C
 2765 SMORUM
DANEMARK</t>
  </si>
  <si>
    <t>SOCCOMAN Lilia</t>
  </si>
  <si>
    <t>SABANI Armend</t>
  </si>
  <si>
    <t>lilia.saccoman@laposte.net</t>
  </si>
  <si>
    <t>mendi.tba@live.com</t>
  </si>
  <si>
    <t>06</t>
  </si>
  <si>
    <t>St Leger du Ventoux</t>
  </si>
  <si>
    <t>HENRI Thibault</t>
  </si>
  <si>
    <t>Henri.thibault@gmail.com</t>
  </si>
  <si>
    <t>06 58 93 50 21</t>
  </si>
  <si>
    <t>GRANDGONNET Antoine</t>
  </si>
  <si>
    <t>84</t>
  </si>
  <si>
    <t>NEVEU Fanny</t>
  </si>
  <si>
    <t>Chez Mr Bonamour Thierry - Château partagé -73610 DULLIN</t>
  </si>
  <si>
    <t>POINAS Severin</t>
  </si>
  <si>
    <t>severin.poinas@wanadoo.fr</t>
  </si>
  <si>
    <t>06 81 67 37 25</t>
  </si>
  <si>
    <t>73</t>
  </si>
  <si>
    <t>LIVROZET Cécile</t>
  </si>
  <si>
    <t>GASEN Laura</t>
  </si>
  <si>
    <t>lauragasen@gmail.com</t>
  </si>
  <si>
    <t>06 72 27 76 97</t>
  </si>
  <si>
    <t>42</t>
  </si>
  <si>
    <t>Saint Etienne  Jacquard</t>
  </si>
  <si>
    <t>Annonay Jean Marron</t>
  </si>
  <si>
    <t>Chavannes/Saint Chamond</t>
  </si>
  <si>
    <t>LAFONT Cédric</t>
  </si>
  <si>
    <t>Dullin</t>
  </si>
  <si>
    <t>Chalmazel</t>
  </si>
  <si>
    <t>Chichilianne</t>
  </si>
  <si>
    <t>Gilbert Corréar Ruthière
38930 CHICHILIANNE</t>
  </si>
  <si>
    <t>gaspard@ra.eedf.fr</t>
  </si>
  <si>
    <t>38</t>
  </si>
  <si>
    <t>Villeurbanne Jean Bart</t>
  </si>
  <si>
    <t>DESCÔTES Claude</t>
  </si>
  <si>
    <t>Colombier</t>
  </si>
  <si>
    <t>MESSINA Tim</t>
  </si>
  <si>
    <t>tim.messina@hotmail.fr</t>
  </si>
  <si>
    <t>Belley</t>
  </si>
  <si>
    <t>LACROIX PENY Magali</t>
  </si>
  <si>
    <t>Chambéry</t>
  </si>
  <si>
    <t>Nogières</t>
  </si>
  <si>
    <t>Mairie de Nozières Stade de Foot 
07270 NOZIERES</t>
  </si>
  <si>
    <t>GROS Louise</t>
  </si>
  <si>
    <t>GAIRE Thomas</t>
  </si>
  <si>
    <t>Camp régional ouvert</t>
  </si>
  <si>
    <t>Neuville sur Seine</t>
  </si>
  <si>
    <t>TURK Salomé</t>
  </si>
  <si>
    <t>tsalome@hotmail.fr</t>
  </si>
  <si>
    <t>06 76 44 43 31</t>
  </si>
  <si>
    <t>10</t>
  </si>
  <si>
    <t>R</t>
  </si>
  <si>
    <t>MOUGEL Layla</t>
  </si>
  <si>
    <t>layla_mougel@hotmail.fr</t>
  </si>
  <si>
    <t>07 81 20 15 31</t>
  </si>
  <si>
    <t>Herbitzheim</t>
  </si>
  <si>
    <t>Alexandre Noé route de Silttzheim 67260 HERBITZHEIM</t>
  </si>
  <si>
    <t>FRANCONI Théo</t>
  </si>
  <si>
    <t>enfance.cs.smj@gmail.com</t>
  </si>
  <si>
    <t>06 83 11 48 88</t>
  </si>
  <si>
    <t>67</t>
  </si>
  <si>
    <t>CZERTOW Pierre</t>
  </si>
  <si>
    <t>p.czertow@homail.fr</t>
  </si>
  <si>
    <t>06 20 59 36 86</t>
  </si>
  <si>
    <t>Vigy</t>
  </si>
  <si>
    <t>Didier Delaporte av. Charlemagne 57640 VIGY</t>
  </si>
  <si>
    <t>THOUVENIN Stéphanie</t>
  </si>
  <si>
    <t>sthouvenin@yahoo.com</t>
  </si>
  <si>
    <t>06 79 35 39 63</t>
  </si>
  <si>
    <t>57</t>
  </si>
  <si>
    <t>Troyes</t>
  </si>
  <si>
    <t>BELNOT Isabelle</t>
  </si>
  <si>
    <t>alezan@eedf.org</t>
  </si>
  <si>
    <r>
      <rPr>
        <b/>
        <i/>
        <sz val="11"/>
        <color rgb="FFC00000"/>
        <rFont val="Calibri"/>
        <family val="2"/>
      </rPr>
      <t xml:space="preserve">CUA: Aînés- CUE: éclés- CULO : louvettte.teau- CULI : Lutin.e.s
</t>
    </r>
    <r>
      <rPr>
        <b/>
        <sz val="11"/>
        <color rgb="FFC00000"/>
        <rFont val="Calibri"/>
        <family val="2"/>
      </rPr>
      <t>- CG : camp de groupe- CR : camp régional-
CRGUE : Camp de regroupement d'unité éclés
-CRGUA : Camp de regroupement d'unité Ainés
-CRGULO : Camp de regroupement d'unité Louveteaux
-CRGULI : Camp de regroupement d'unité Lutins
-CRG : Camp de regroupement
-RO : Camp régional ouvert</t>
    </r>
    <r>
      <rPr>
        <b/>
        <sz val="11"/>
        <rFont val="Calibri"/>
        <family val="2"/>
        <charset val="1"/>
      </rPr>
      <t xml:space="preserve">
</t>
    </r>
    <r>
      <rPr>
        <b/>
        <sz val="11"/>
        <color rgb="FF3366FF"/>
        <rFont val="Calibri"/>
        <family val="2"/>
      </rPr>
      <t xml:space="preserve">- CIG : camp inter groupes
- SAM: séjours adaptés mineurs
- SAA : séjours adaptés adultes 
- SOU : séjours ouverts </t>
    </r>
  </si>
  <si>
    <t>Balnot sur Laignes</t>
  </si>
  <si>
    <t>Metz Visa</t>
  </si>
  <si>
    <t>Sainte Livière</t>
  </si>
  <si>
    <t>Port de Nemours Lac du Der 
Terrain de camp EEDF
 52290 SAINTE LIVIERE</t>
  </si>
  <si>
    <t>gaire.thomas@outlook.fr</t>
  </si>
  <si>
    <t>52</t>
  </si>
  <si>
    <t>Constelle de l'Iridan Colmar</t>
  </si>
  <si>
    <t>aslambs68@gmail.com</t>
  </si>
  <si>
    <t>Pontarlier</t>
  </si>
  <si>
    <t>EEDF Chalet du Larmont route du Larmont 25300 PONTARLIER</t>
  </si>
  <si>
    <t>LAMS Anne Sophie</t>
  </si>
  <si>
    <t>Centre des Tronches</t>
  </si>
  <si>
    <t>St Etienne les Remiremont</t>
  </si>
  <si>
    <t>RABEMANANJARA Falisoa</t>
  </si>
  <si>
    <t>88</t>
  </si>
  <si>
    <t>VERMOT DESROCHES Jimmy</t>
  </si>
  <si>
    <t>jimmy.vermot-desroches@orange.fr</t>
  </si>
  <si>
    <t>NAUROY Ludovic</t>
  </si>
  <si>
    <t>ludo.nauroy@gmail.com</t>
  </si>
  <si>
    <t>Planète Cirque</t>
  </si>
  <si>
    <t>127 Bis</t>
  </si>
  <si>
    <t>FERNANDEZ Christian</t>
  </si>
  <si>
    <t>binturongchris@gmail.com</t>
  </si>
  <si>
    <t>128 Bis</t>
  </si>
  <si>
    <t>128 Ter</t>
  </si>
  <si>
    <t>La Chapelle Naude</t>
  </si>
  <si>
    <t>La grange Rouge 142 route de Vaudrey
 71500 LA CHAPELLE NAUDE</t>
  </si>
  <si>
    <t>VUILLOTE Emmanuel</t>
  </si>
  <si>
    <t>71</t>
  </si>
  <si>
    <t>Meudon</t>
  </si>
  <si>
    <t>GRANDIN Martine</t>
  </si>
  <si>
    <t>Ploemeur</t>
  </si>
  <si>
    <t>CANIVET Yvain</t>
  </si>
  <si>
    <t>yvain.canivet@laposte.net</t>
  </si>
  <si>
    <t>RADISSON Olivier</t>
  </si>
  <si>
    <t>Camp régional</t>
  </si>
  <si>
    <t>Ranchal</t>
  </si>
  <si>
    <t>LE PLAINE Frédéric</t>
  </si>
  <si>
    <t>fredericleplaine@gmail.com</t>
  </si>
  <si>
    <t>69</t>
  </si>
  <si>
    <t>louise.gros@hotmail.fr</t>
  </si>
  <si>
    <t>falsmada@gmail.com</t>
  </si>
  <si>
    <t>Bourgogne/Franche Comte</t>
  </si>
  <si>
    <t>Cluny</t>
  </si>
  <si>
    <t>BILLARD Bertrand</t>
  </si>
  <si>
    <t>Montigny sur l'Ain</t>
  </si>
  <si>
    <t>Camping du Git 7 chemin du Git 39300 MONTIGNY sur l'AIN</t>
  </si>
  <si>
    <t>RICHARD Martin</t>
  </si>
  <si>
    <t>Martin.richard.pro@gmail.com</t>
  </si>
  <si>
    <t>06 64 52 70 22</t>
  </si>
  <si>
    <t>39</t>
  </si>
  <si>
    <t>Gap</t>
  </si>
  <si>
    <t>SAULNIER Laurent</t>
  </si>
  <si>
    <t>GRANGIER Robin</t>
  </si>
  <si>
    <t>grangier.rr@gmail.com</t>
  </si>
  <si>
    <t>06 84 27 95 58</t>
  </si>
  <si>
    <t>CASTEBOU Florian</t>
  </si>
  <si>
    <t>florian.castelbou12@hotmail.fr</t>
  </si>
  <si>
    <t>St Pierre Dels Forcats</t>
  </si>
  <si>
    <t>MOLINIER Martine</t>
  </si>
  <si>
    <t>m.molinier889@gmail.com</t>
  </si>
  <si>
    <t>Népal</t>
  </si>
  <si>
    <t>Ecole Hollygarden Dhanusa District JANAKPUR Zone Tulsi Chauda NEPAL</t>
  </si>
  <si>
    <t>ASSENS Aurélie</t>
  </si>
  <si>
    <t>aurelie.assens@yahoo.fr</t>
  </si>
  <si>
    <t>Onet le Château</t>
  </si>
  <si>
    <t>PALMA LIRA José</t>
  </si>
  <si>
    <t>jose.palmalira@laposte.net</t>
  </si>
  <si>
    <t>Monts d'Orb</t>
  </si>
  <si>
    <t>ST Gilles</t>
  </si>
  <si>
    <t>Association des amis des SGDF gérant Denis Gasquez Centre de la Baume Quartier d'Espeyran 
30800 ST GILLES</t>
  </si>
  <si>
    <t>Pailhes</t>
  </si>
  <si>
    <t>SCI Foix Berne Château des Pailhès 
09130 PAILHES</t>
  </si>
  <si>
    <t>SANQUER Romain</t>
  </si>
  <si>
    <t>rsanquer@gmail.com</t>
  </si>
  <si>
    <t>Freyming Merlebach</t>
  </si>
  <si>
    <t>SINDT Jean Raphaël</t>
  </si>
  <si>
    <t>Lapoutroie</t>
  </si>
  <si>
    <t>Association des Scouts et Guides de France 261 Ribeaugoutte 
68650 LAPOUTROIE</t>
  </si>
  <si>
    <t>68</t>
  </si>
  <si>
    <t>SIMON Alexandre</t>
  </si>
  <si>
    <t>Strasbourg
Nancy
Pontarlier
L'Isle sur le Doubs</t>
  </si>
  <si>
    <t>Argol</t>
  </si>
  <si>
    <t>BANACH Emilie</t>
  </si>
  <si>
    <t>cardi@live.com</t>
  </si>
  <si>
    <t>Rennes Loups Blancs</t>
  </si>
  <si>
    <t>RIVET Laurent</t>
  </si>
  <si>
    <t>BASSO Delphine</t>
  </si>
  <si>
    <t>laplanche@eedf,asso,fr</t>
  </si>
  <si>
    <t>06 28 43 02 74</t>
  </si>
  <si>
    <t>CUA</t>
  </si>
  <si>
    <t>Avignon</t>
  </si>
  <si>
    <t>ALTUR Manuel</t>
  </si>
  <si>
    <t>FUHRMEISTER Aline</t>
  </si>
  <si>
    <t>cigaline30@orange,fr</t>
  </si>
  <si>
    <t>06 21 10 67 90</t>
  </si>
  <si>
    <t>DENTIN Clémence</t>
  </si>
  <si>
    <t>07 82 86 20 92</t>
  </si>
  <si>
    <t>GERAUD Claire</t>
  </si>
  <si>
    <t>claire.geraud.cg@gmail.com</t>
  </si>
  <si>
    <t>Cajarc</t>
  </si>
  <si>
    <t>Association Africajarc Air naturelle
 rue du Cuzoul
 46160 CAJARC</t>
  </si>
  <si>
    <t>46</t>
  </si>
  <si>
    <t>FOLLET Pierre</t>
  </si>
  <si>
    <t>follet.pierre@hotmail.fr</t>
  </si>
  <si>
    <t>BABINET Jean Christophe</t>
  </si>
  <si>
    <t>Grasse</t>
  </si>
  <si>
    <t>Meyzieu</t>
  </si>
  <si>
    <t>Midi Pyrénée</t>
  </si>
  <si>
    <t>Scoutisme Français
Domaine de Viviers
34830 JACOU</t>
  </si>
  <si>
    <t>JALBY Margaux</t>
  </si>
  <si>
    <t>margaux.jalby@gmail.com</t>
  </si>
  <si>
    <t>Aix en Provence</t>
  </si>
  <si>
    <t>CAPON Bernadette</t>
  </si>
  <si>
    <t>bernadette.capon@orange.fr</t>
  </si>
  <si>
    <t>Lherm</t>
  </si>
  <si>
    <t>Base d'accueil de scoutisme SGDF des Villières 377 Route de Saint Clar
31600 LHERM</t>
  </si>
  <si>
    <t>Mende</t>
  </si>
  <si>
    <t>TREMOULET Gilles</t>
  </si>
  <si>
    <t>gilles.tremoulet1@aliceadsl.fr</t>
  </si>
  <si>
    <t>QUEZAC</t>
  </si>
  <si>
    <t>Jean Grégoire Plantier Lieu Dit Fayer
48320 QUEZAC</t>
  </si>
  <si>
    <t>48</t>
  </si>
  <si>
    <t>Chili</t>
  </si>
  <si>
    <t>Cholonge</t>
  </si>
  <si>
    <t>Mairie de Cholonges 
route de la Bergogne
38220 Cholonge</t>
  </si>
  <si>
    <t>MOTTIN LAFEUILLE Camille</t>
  </si>
  <si>
    <t>camille.motlaf@gmail.com</t>
  </si>
  <si>
    <t>Nozière</t>
  </si>
  <si>
    <t>Commune de Nozière Stade de Nozière
07166 NOZIERE</t>
  </si>
  <si>
    <t>CHOUERY Sacha</t>
  </si>
  <si>
    <t>sacha.chouery@gmail.com</t>
  </si>
  <si>
    <t>Lyon 3</t>
  </si>
  <si>
    <t>Saint Eienne Montplaisir</t>
  </si>
  <si>
    <t>FERRIERES SUR SICHON</t>
  </si>
  <si>
    <t>Centre EEDF lieu dit le Bréant 03250 FERRIERES SUR SICHON</t>
  </si>
  <si>
    <t>CASSAIGNE Morganne</t>
  </si>
  <si>
    <t>morgane,cassaigne@gmail.com</t>
  </si>
  <si>
    <t>06 23 23 36 88</t>
  </si>
  <si>
    <t>LUTIN Meklouk</t>
  </si>
  <si>
    <t>helene.mengual@gmail.com</t>
  </si>
  <si>
    <t>06 78 73 68 55</t>
  </si>
  <si>
    <t>RINALDI Laura</t>
  </si>
  <si>
    <t>rinaldi.laura34@hotmail.fr</t>
  </si>
  <si>
    <t>06 74 25 04 52</t>
  </si>
  <si>
    <t>TROUCHE Olivier</t>
  </si>
  <si>
    <t>oliviertrouche@laposte.net</t>
  </si>
  <si>
    <t>06 58 87 62 22</t>
  </si>
  <si>
    <t>CUE</t>
  </si>
  <si>
    <t>CULI</t>
  </si>
  <si>
    <t>CULO</t>
  </si>
  <si>
    <t>lavabre.marianne@gmail.com</t>
  </si>
  <si>
    <t>Rauzan</t>
  </si>
  <si>
    <t>1 lieu dit de Taris Vignoble Goudichaud  33420 RAUZAN</t>
  </si>
  <si>
    <t>Vabre</t>
  </si>
  <si>
    <t>PHAM TAM Claude</t>
  </si>
  <si>
    <t>claude.pham-tam@wanadoo.fr</t>
  </si>
  <si>
    <t>COLZY Jean</t>
  </si>
  <si>
    <t>jano.co@laposte.net</t>
  </si>
  <si>
    <t>ÔLLIVIER David</t>
  </si>
  <si>
    <t>Minerve</t>
  </si>
  <si>
    <t>VALENTA Audrey</t>
  </si>
  <si>
    <t>valenta,audrey@gmail.com</t>
  </si>
  <si>
    <t>06 09 90 54 56</t>
  </si>
  <si>
    <t>Marseille Centre</t>
  </si>
  <si>
    <t>clemencedentin.klm@gmail.com</t>
  </si>
  <si>
    <t>sindtjr@hotmail.com</t>
  </si>
  <si>
    <t>frassard@live.fr</t>
  </si>
  <si>
    <t>planete.cirque.contact@gmail.com</t>
  </si>
  <si>
    <t>Paris Nord
Périgueux
Muret Chelles</t>
  </si>
  <si>
    <t>Hameau de Bois Bas 
34210 MINERVE</t>
  </si>
  <si>
    <t>Languedoc roussillon</t>
  </si>
  <si>
    <t>Saint Alban sur Limagnole</t>
  </si>
  <si>
    <t>GUILLET Pierre</t>
  </si>
  <si>
    <t>pierre.guillez@gmail.com</t>
  </si>
  <si>
    <t>Lyon 1</t>
  </si>
  <si>
    <t>otarie.epervier@orange.fr</t>
  </si>
  <si>
    <r>
      <t xml:space="preserve">N°
</t>
    </r>
    <r>
      <rPr>
        <b/>
        <sz val="18"/>
        <color rgb="FFC00000"/>
        <rFont val="Calibri"/>
        <family val="2"/>
      </rPr>
      <t>-2</t>
    </r>
  </si>
  <si>
    <t>MENGUAL Hélène</t>
  </si>
  <si>
    <t>EWALD Eliot</t>
  </si>
  <si>
    <t>eliot.ewald@gmail.com</t>
  </si>
  <si>
    <t>REGNIER  Jean Paul</t>
  </si>
  <si>
    <t>ITINERANT</t>
  </si>
  <si>
    <t>CPN</t>
  </si>
  <si>
    <t>LOCATION</t>
  </si>
  <si>
    <t>EXT</t>
  </si>
  <si>
    <t>ETRANGER</t>
  </si>
  <si>
    <t>CENTRE</t>
  </si>
  <si>
    <t>MAIRIE</t>
  </si>
  <si>
    <t>SGDF</t>
  </si>
  <si>
    <t>TERRAIN</t>
  </si>
  <si>
    <t>CAMPING</t>
  </si>
  <si>
    <t>FERME</t>
  </si>
  <si>
    <t>COLONIE</t>
  </si>
  <si>
    <t>CPNB</t>
  </si>
  <si>
    <t>CPNV</t>
  </si>
  <si>
    <t>Nombre</t>
  </si>
  <si>
    <t>TOTAL</t>
  </si>
  <si>
    <t>DEPARTEMENT</t>
  </si>
  <si>
    <t>NB TOTAL</t>
  </si>
  <si>
    <t>TOTAL FIXE</t>
  </si>
  <si>
    <t>nombre d'enfants</t>
  </si>
  <si>
    <t>nombre de camps</t>
  </si>
  <si>
    <t>Nombre d'enfants en camps &amp; nombre de camps par département en 2018</t>
  </si>
  <si>
    <t>12131</t>
  </si>
  <si>
    <t>06019</t>
  </si>
  <si>
    <t>06116</t>
  </si>
  <si>
    <t>01104</t>
  </si>
  <si>
    <t>03081</t>
  </si>
  <si>
    <t>05079</t>
  </si>
  <si>
    <t>85166</t>
  </si>
  <si>
    <t>65017</t>
  </si>
  <si>
    <t>86203</t>
  </si>
  <si>
    <t>21017</t>
  </si>
  <si>
    <t>65078</t>
  </si>
  <si>
    <t>84110</t>
  </si>
  <si>
    <t>42039</t>
  </si>
  <si>
    <t>10029</t>
  </si>
  <si>
    <t>56162</t>
  </si>
  <si>
    <t>69164</t>
  </si>
  <si>
    <t>29001</t>
  </si>
  <si>
    <t>81201</t>
  </si>
  <si>
    <t>48132</t>
  </si>
  <si>
    <t>identification des Camps 2018 se déroulant sur des centres EEDF, avec nombre total de jeunes accueillis par centre</t>
  </si>
  <si>
    <t>Présentation des centres bénévoles et des CPN en France</t>
  </si>
  <si>
    <t>59416</t>
  </si>
  <si>
    <t>73306</t>
  </si>
  <si>
    <t>63463</t>
  </si>
  <si>
    <t>Le Planet</t>
  </si>
  <si>
    <t>La Merlerie</t>
  </si>
  <si>
    <t>Le Fontenil</t>
  </si>
  <si>
    <t>Blausasc</t>
  </si>
  <si>
    <t>Balnot</t>
  </si>
  <si>
    <t>Coûteron</t>
  </si>
  <si>
    <t>Dolus d'Oléron</t>
  </si>
  <si>
    <t xml:space="preserve">Moulin de Lavaure </t>
  </si>
  <si>
    <t>*Argol</t>
  </si>
  <si>
    <t>Le Bec Rond</t>
  </si>
  <si>
    <t>Puits Bertin</t>
  </si>
  <si>
    <t>Les Révotes</t>
  </si>
  <si>
    <t>Le Franquet</t>
  </si>
  <si>
    <t>Kerva</t>
  </si>
  <si>
    <t>Fabian</t>
  </si>
  <si>
    <t>Lesponne</t>
  </si>
  <si>
    <t>Foucheval</t>
  </si>
  <si>
    <t>St Léger du Ventoux</t>
  </si>
  <si>
    <t>Fief Guesdon</t>
  </si>
  <si>
    <t>Boussais</t>
  </si>
  <si>
    <t>Valloire</t>
  </si>
  <si>
    <t>*La Planche</t>
  </si>
  <si>
    <t>PV BAFA 2018</t>
  </si>
  <si>
    <t>en attente de PV recevable</t>
  </si>
  <si>
    <t>PV Recevable</t>
  </si>
  <si>
    <t>en attente du vrai PV déclaré</t>
  </si>
  <si>
    <t>Annulé</t>
  </si>
  <si>
    <t>mois à traiter pour la synthèse</t>
  </si>
  <si>
    <t>Réf</t>
  </si>
  <si>
    <t>N°session</t>
  </si>
  <si>
    <t>Session
Général-Appro-Qualification</t>
  </si>
  <si>
    <t>Type d'hébergement
Internat-Externat</t>
  </si>
  <si>
    <t>Date</t>
  </si>
  <si>
    <t>Adresse de session</t>
  </si>
  <si>
    <t>Territoire</t>
  </si>
  <si>
    <t>Région</t>
  </si>
  <si>
    <t>Civilité</t>
  </si>
  <si>
    <t xml:space="preserve">Nom du directeur </t>
  </si>
  <si>
    <t>Qualification du directeur</t>
  </si>
  <si>
    <t>Nombre de formateur</t>
  </si>
  <si>
    <t>Nom des Formateurs</t>
  </si>
  <si>
    <t>Garçon</t>
  </si>
  <si>
    <t>Fille</t>
  </si>
  <si>
    <t>Qualification des formateurs</t>
  </si>
  <si>
    <t>Nombre de stagiaire</t>
  </si>
  <si>
    <t>nombre d'avis satisfaisante</t>
  </si>
  <si>
    <t>Nombre d'avis non satisfaisante</t>
  </si>
  <si>
    <t>Nombre d'avis en tant qu'appro</t>
  </si>
  <si>
    <t>Nombre d'avis en Qualification</t>
  </si>
  <si>
    <t>18031BAFA72161</t>
  </si>
  <si>
    <t>Approfondissement</t>
  </si>
  <si>
    <t>Internat</t>
  </si>
  <si>
    <t>26/02/2018
au
03/03/2018</t>
  </si>
  <si>
    <t>Domaine dui T 86 route du chapitre 31130 Balma</t>
  </si>
  <si>
    <t>Madame</t>
  </si>
  <si>
    <t>Colzy Claire</t>
  </si>
  <si>
    <t>BAFD</t>
  </si>
  <si>
    <t>Colzy Jean
Follet Pierre
Assens Aurélie</t>
  </si>
  <si>
    <t>BAFA
BAFA
BAFA</t>
  </si>
  <si>
    <t>18011BAFA72155</t>
  </si>
  <si>
    <t>Générale</t>
  </si>
  <si>
    <t>18/02/2018
au
25/02/2018</t>
  </si>
  <si>
    <t>Leap Emile de Rodat 8 boulevard Gérard de Pins 11170 Pezens</t>
  </si>
  <si>
    <t>Monsieur</t>
  </si>
  <si>
    <t>Birée Florian</t>
  </si>
  <si>
    <t>Cotonat Marion
Jourdain Maxime
Zimpfer Claire Line</t>
  </si>
  <si>
    <t>BP JEPS UCC direction CVL
BAFA
BAFA</t>
  </si>
  <si>
    <t>18032BAFA72156</t>
  </si>
  <si>
    <t>24/02/2018
au
03/03/2018</t>
  </si>
  <si>
    <t>Lycée des métiers le Carros 1 bis rue Darwin BP 60529 32021 Auch</t>
  </si>
  <si>
    <t>Oliveros Fanny</t>
  </si>
  <si>
    <t>BOTTON Aurélien
Gonin Camille
Tilhou Bérénice</t>
  </si>
  <si>
    <t>BAFD
BP JEPS UCC direction CVL
BAFA</t>
  </si>
  <si>
    <t>18063BAFA71367</t>
  </si>
  <si>
    <t>10/02/2018
au
17/02/2018</t>
  </si>
  <si>
    <t xml:space="preserve">Auvergne </t>
  </si>
  <si>
    <t>Louis Jonathan</t>
  </si>
  <si>
    <t>BP JEPS spécialisé LTP</t>
  </si>
  <si>
    <t xml:space="preserve">Banda Alexandre </t>
  </si>
  <si>
    <t>BP JEPS</t>
  </si>
  <si>
    <t>18006BAFA71958</t>
  </si>
  <si>
    <t>25/02/2018
au
04/03/2018</t>
  </si>
  <si>
    <t>Les Courmettes route des Courmettes 06140 Tourrettes sur Loup</t>
  </si>
  <si>
    <t>Lukovic Snejana</t>
  </si>
  <si>
    <t>Organini Florent
Chatel Léa
Frison Julie</t>
  </si>
  <si>
    <t>18006BAFA71328</t>
  </si>
  <si>
    <t>25/02/2018
au
02/03/2018</t>
  </si>
  <si>
    <t>Bonnot Elizabeth</t>
  </si>
  <si>
    <t>Geidies Flora
Mauduit Cécil</t>
  </si>
  <si>
    <t>BAFA
BAFA</t>
  </si>
  <si>
    <t>18032BAFA72157</t>
  </si>
  <si>
    <t>Lycée des métiers le Garros 1 bis rue Darwin BP 60529 32021 Auch</t>
  </si>
  <si>
    <t>Palma Lira José Marie</t>
  </si>
  <si>
    <t>Bounes Pauline
Guiraud Damien
Pillard Jade
Prevost Armand</t>
  </si>
  <si>
    <t>DE d'éducateur spécialisé
BAFA
BAFA
BAFA</t>
  </si>
  <si>
    <t>18033BAFA71101</t>
  </si>
  <si>
    <t>11/02/2018
au
18/02/2018</t>
  </si>
  <si>
    <t>Oeecb 1 rue Jules Ferry 33640 Castres</t>
  </si>
  <si>
    <t>Poitiers Samuel</t>
  </si>
  <si>
    <t>DUT spécialisé carrières sociales, option animation sociale et socioculturelle</t>
  </si>
  <si>
    <t>Penot Laurine</t>
  </si>
  <si>
    <t>18059BAFA72166</t>
  </si>
  <si>
    <t>Haut de France</t>
  </si>
  <si>
    <t>Vandoolaeghe Gaëtan</t>
  </si>
  <si>
    <t>Declerck Jan
Guinamard Rémi
Warlouzet Audrey</t>
  </si>
  <si>
    <t>18973BAFA71890</t>
  </si>
  <si>
    <t>Externat</t>
  </si>
  <si>
    <t>17/02/2018
au
24/02/2018</t>
  </si>
  <si>
    <t>Association Happy Days 4 rue des Parfums Parc Lindor 2 97354 Remire Montjoly</t>
  </si>
  <si>
    <t>Eustache Marie Francine Brigitte</t>
  </si>
  <si>
    <t>Besnard Cyril
Bersot Hubert</t>
  </si>
  <si>
    <t>18059BAFA72377</t>
  </si>
  <si>
    <t>Chevrey Nicole</t>
  </si>
  <si>
    <t>Cerf Alexandre</t>
  </si>
  <si>
    <t>BAFA</t>
  </si>
  <si>
    <t>18059BAFA72373</t>
  </si>
  <si>
    <t>Qualification</t>
  </si>
  <si>
    <t>24/02/20108
au
03/03/2018</t>
  </si>
  <si>
    <t>Montreuil Vincent</t>
  </si>
  <si>
    <t>Mabriez Nathan
Meurin Lucy</t>
  </si>
  <si>
    <t>BAFA
BAFA qualification surveillance de baignade</t>
  </si>
  <si>
    <t>18059BAFA72167</t>
  </si>
  <si>
    <t>03/03/2018
au
10/03/2018</t>
  </si>
  <si>
    <t>Jacquot Sylvain</t>
  </si>
  <si>
    <t>Van Den Hende Pauline</t>
  </si>
  <si>
    <t>18059BAFA72207</t>
  </si>
  <si>
    <t>Fache Benoît</t>
  </si>
  <si>
    <t>El Tadjouri Alix
Guffroy Fanny
Vandemeulebrouck Chloé</t>
  </si>
  <si>
    <t>18035BAFA74531</t>
  </si>
  <si>
    <t>27/04/2018
au
04/05/2018</t>
  </si>
  <si>
    <t>Villard Stéphanie</t>
  </si>
  <si>
    <t>Doucet Colin
Guy Clément
Le Borgne Léa
Noyer Claire</t>
  </si>
  <si>
    <t>BAFA
BAFA
BAFA
DE d'éducateur spécialisé</t>
  </si>
  <si>
    <t>18094BAFA73840</t>
  </si>
  <si>
    <t>14/04/2018
au
21/04/2018</t>
  </si>
  <si>
    <t>Erea François Cavanna 3 avenue de Joinville 94130 Nogent sur Marne</t>
  </si>
  <si>
    <t>Eustache Marie francine Brigitte</t>
  </si>
  <si>
    <t>Besnard Cyril</t>
  </si>
  <si>
    <t>18059BAFA74192</t>
  </si>
  <si>
    <t>21/04/2018
au
28/04/2018</t>
  </si>
  <si>
    <t>Centre de loisirs du Puythouck rue du Puythouck 59760 Grand Synthe</t>
  </si>
  <si>
    <t>Gloriant Nicolas</t>
  </si>
  <si>
    <t>Antitene Stéphanie
Guffroy Fanny
Ruyfflaere Isabelle
Vandemeulebrouck Chloé</t>
  </si>
  <si>
    <t>BAFA
BAFA
BAFA
BAFA</t>
  </si>
  <si>
    <t>18059BAFA74233</t>
  </si>
  <si>
    <t>23/04/2018
au
28/04/2018</t>
  </si>
  <si>
    <t>Druvent Romain</t>
  </si>
  <si>
    <t>Certificat aptitude au professorat</t>
  </si>
  <si>
    <t>Delobel Zoé
Tchiche Yasmine</t>
  </si>
  <si>
    <t>18059BAFA74232</t>
  </si>
  <si>
    <t>28/04/2018
au
05/05/2018</t>
  </si>
  <si>
    <t>Lesaffre Adrien
Mantel Manon</t>
  </si>
  <si>
    <t>BAFA qualification surveillance de baignade
BAFA</t>
  </si>
  <si>
    <t>18059BAFA74189</t>
  </si>
  <si>
    <t>Leroye David</t>
  </si>
  <si>
    <t>Declerck Jan</t>
  </si>
  <si>
    <t>18059BAFA74193</t>
  </si>
  <si>
    <t>Communautés de communes 340 route de l'Haeghedoorn 59270 Méteren</t>
  </si>
  <si>
    <t>Derache Adrien
Dhaine Candice</t>
  </si>
  <si>
    <t>18086BAFA73932</t>
  </si>
  <si>
    <t>Vigour Etienne</t>
  </si>
  <si>
    <t>LAUNAY Antoine
LINARES Quentin</t>
  </si>
  <si>
    <t>18024BAFA73517</t>
  </si>
  <si>
    <t>08/04/2018
au
13/04/2018</t>
  </si>
  <si>
    <t>Dassonville Tanguy</t>
  </si>
  <si>
    <t>DUT spécialité carrières sociales, option animation social et socioculturelle</t>
  </si>
  <si>
    <t>18973BAFA73538</t>
  </si>
  <si>
    <t>07/04/2018
au
14/04/2018</t>
  </si>
  <si>
    <t>18973BAFA73536</t>
  </si>
  <si>
    <t>30/03/2018
au
06/04/2018</t>
  </si>
  <si>
    <t>18088BAFA74401</t>
  </si>
  <si>
    <t>22/04/2018
au
27/04/2018</t>
  </si>
  <si>
    <t>Grands Est</t>
  </si>
  <si>
    <t>Banach Emilie</t>
  </si>
  <si>
    <t>DP Professeur des écoles</t>
  </si>
  <si>
    <t>Chibane Thomas
Jan Fabrice
Quetand Marylène</t>
  </si>
  <si>
    <t>BAFD stagiaire
BAFA
BAFA</t>
  </si>
  <si>
    <t>18088BAFA74391</t>
  </si>
  <si>
    <t>Grandjean Gilbert</t>
  </si>
  <si>
    <t>Bellotto Elodie
Chibane Thomas</t>
  </si>
  <si>
    <t>18069BAFA74587</t>
  </si>
  <si>
    <t>Bouquet Stéphan</t>
  </si>
  <si>
    <t>BEATEP spécialité ASVL</t>
  </si>
  <si>
    <t>Caillat Aurore
Journeaux Victor
Juquel Marine
Latreille Laure
Mottin-Laffeuil Camille</t>
  </si>
  <si>
    <t>BAFA
BAFA
BAPAAT
BAFA
BAFA</t>
  </si>
  <si>
    <t>18031BAFA74408</t>
  </si>
  <si>
    <t>14/04/2018
au21/04/2018</t>
  </si>
  <si>
    <t>Centre les Villières 377 route de Saint Clar 31600 Lherm</t>
  </si>
  <si>
    <t>Debaa Ounissa</t>
  </si>
  <si>
    <t>Trouche Olivier</t>
  </si>
  <si>
    <t>18034BAFA74631</t>
  </si>
  <si>
    <t>Centre de vacances Avea la Poste La grange de sallèles route de Marseillan 34510 Florensac</t>
  </si>
  <si>
    <t>Guillez Pierre</t>
  </si>
  <si>
    <t>DEJEPS</t>
  </si>
  <si>
    <t>Cabillic Vincent</t>
  </si>
  <si>
    <t>18034BAFA74630</t>
  </si>
  <si>
    <t>Charrière Sabine</t>
  </si>
  <si>
    <t>Juan Martin</t>
  </si>
  <si>
    <t>BAFA qualification surveillance de baignade</t>
  </si>
  <si>
    <t>18034BAFA74740</t>
  </si>
  <si>
    <t>30/04/2018
au
06/05/2018</t>
  </si>
  <si>
    <t>Maison de la vie associative 15 rue Margueritte 34500 Béziers</t>
  </si>
  <si>
    <t>De Julis Safia</t>
  </si>
  <si>
    <t>DE éducateur spécialisé</t>
  </si>
  <si>
    <t>18015BAFA76794</t>
  </si>
  <si>
    <t>25/06/2018
au
30/06/2018</t>
  </si>
  <si>
    <t>La Barreyrie 15290 Roumégoux</t>
  </si>
  <si>
    <t>Birée Florence</t>
  </si>
  <si>
    <t>Gonin Samuel
Tilhou Bérénice</t>
  </si>
  <si>
    <t>18081BAFA75956</t>
  </si>
  <si>
    <t>23/06/2018
au
30/06/2018</t>
  </si>
  <si>
    <t>Brault Elise
Bretaudeau Martin
Parisot Adrien</t>
  </si>
  <si>
    <t>18081BAFA45954</t>
  </si>
  <si>
    <t>Decorsière Emile</t>
  </si>
  <si>
    <t>Castelbou Florian
Dahon Claudine
Parisot Louis</t>
  </si>
  <si>
    <t>18013BAFA75839</t>
  </si>
  <si>
    <t>27/06/2018
au
04/07/2018</t>
  </si>
  <si>
    <t>Gentina Sebastien
Piussi Marion
Richert Jean Philippe
Organini Florent</t>
  </si>
  <si>
    <t>BAFD
BAFA
BAFA
BAFA</t>
  </si>
  <si>
    <t>18059BAFA76205</t>
  </si>
  <si>
    <t>30/06/2018
au
07/07/2018</t>
  </si>
  <si>
    <t>Vandemeulebrouck Chloé
Warlouzet Audrey</t>
  </si>
  <si>
    <t>18059BAFA76207</t>
  </si>
  <si>
    <t>02/07/2018
au
07/07/2018</t>
  </si>
  <si>
    <t>Ferme du Schoubrouck 353 chemin du Schoubrouck 59670 Noordpeene</t>
  </si>
  <si>
    <t>Dhaine Candice</t>
  </si>
  <si>
    <t>18052BAFA76159</t>
  </si>
  <si>
    <t>Centre EEDF YC DER Port de nemours 52290 Eclaron Braucourt Sainte Livière</t>
  </si>
  <si>
    <t>BP BPJEPS</t>
  </si>
  <si>
    <t>Wahl Paul
Bersot Hubert
Muller Clément</t>
  </si>
  <si>
    <t>18063BAFA76899</t>
  </si>
  <si>
    <t>25/08/2018
au
30/08/2018</t>
  </si>
  <si>
    <t>Mathieu Anne Pauline</t>
  </si>
  <si>
    <t>Banda Alexandre 
Tutund Jian Maëlle</t>
  </si>
  <si>
    <t>BPJEPS
BAFA</t>
  </si>
  <si>
    <t>18056BAFA78344</t>
  </si>
  <si>
    <t>21/10/2018
au
28/10/2018</t>
  </si>
  <si>
    <t>Doucet Colin</t>
  </si>
  <si>
    <t>DUT spécialisé carrières sociales</t>
  </si>
  <si>
    <t>Paillard François
Le Galle Juliette
Durand Mael</t>
  </si>
  <si>
    <t>BAFD
BAFA
BAFA</t>
  </si>
  <si>
    <t>18059BAFA77487</t>
  </si>
  <si>
    <t>22/10/2018
au
27/10/2018</t>
  </si>
  <si>
    <t>Delobel Zoé
Latrech Rachel</t>
  </si>
  <si>
    <t>18059BAFA78119</t>
  </si>
  <si>
    <t>Centre de loisirs du Puy thouck rue du Puythouck 59760 Grand Synthe</t>
  </si>
  <si>
    <t>Eustache Marie Francine Brigitte
Guffroy Fanny
Vandemeulebrouck Chloé</t>
  </si>
  <si>
    <t>18059BAFA77485</t>
  </si>
  <si>
    <t>20/10/2018
au
27/10/2018</t>
  </si>
  <si>
    <t>El Tadjouri Alix
Lesaffre Adrien</t>
  </si>
  <si>
    <t>18059BAFA77740</t>
  </si>
  <si>
    <t>Gloriant Caroline</t>
  </si>
  <si>
    <t>Antitene Stéphanie
Colombel Pierre
Ewald Eliot
Ruyffelaere Isabelle</t>
  </si>
  <si>
    <t>18034BAFA78088</t>
  </si>
  <si>
    <t>11/10/2018
au
19/10/2018</t>
  </si>
  <si>
    <t>Guillez Nicolas</t>
  </si>
  <si>
    <t>18081BAFA78615</t>
  </si>
  <si>
    <t>Les foyers du Ségala RD 922 81170 Saint Martin Laguépie</t>
  </si>
  <si>
    <t>Brault Élise
Debaa Ounissa</t>
  </si>
  <si>
    <t>BAFA
BAFD</t>
  </si>
  <si>
    <t>18063BAFA78174</t>
  </si>
  <si>
    <t>29/10/2018
au
03/11/2018</t>
  </si>
  <si>
    <t>Ferrand Eloise
Muller Clément</t>
  </si>
  <si>
    <t>18034BAFA79424</t>
  </si>
  <si>
    <t>27/10/2018
au
03/11/2018</t>
  </si>
  <si>
    <t>Domaine de Roussières 34380 Viols en Laval</t>
  </si>
  <si>
    <t>Imbert Marion</t>
  </si>
  <si>
    <t>BPJEPS</t>
  </si>
  <si>
    <t>18034BAFA80148</t>
  </si>
  <si>
    <t>10/12/2018
au
15/12/2018</t>
  </si>
  <si>
    <t>18059BAFA79644</t>
  </si>
  <si>
    <t>26/12/2018
au
05/01/2019</t>
  </si>
  <si>
    <t>18059BAFA79645</t>
  </si>
  <si>
    <t>26/12/2018
au
31/12/2018</t>
  </si>
  <si>
    <t>Ruyffelaere Isabelle</t>
  </si>
  <si>
    <t>88415</t>
  </si>
  <si>
    <t>Les Tronches</t>
  </si>
  <si>
    <t>90041</t>
  </si>
  <si>
    <t>Département</t>
  </si>
  <si>
    <t>97</t>
  </si>
  <si>
    <t>94</t>
  </si>
  <si>
    <t>13</t>
  </si>
  <si>
    <t>Présentation des stages BAFA et BAFD 2018 par département avec différenciation CPN/Centres</t>
  </si>
  <si>
    <t>Nombre de stagiaires</t>
  </si>
  <si>
    <t>Stages BAFA</t>
  </si>
  <si>
    <t>Stagiaires BAFA</t>
  </si>
  <si>
    <t>Stages BAFD</t>
  </si>
  <si>
    <t>Stagiaires BAFD</t>
  </si>
  <si>
    <t>PROCÈS VERBAUX 2018 BAFD</t>
  </si>
  <si>
    <t xml:space="preserve">en attente du vrai PV déclaré  </t>
  </si>
  <si>
    <t>recevable</t>
  </si>
  <si>
    <t>Session
Général-Perfectionnement</t>
  </si>
  <si>
    <t>Masculin</t>
  </si>
  <si>
    <t>Féminin</t>
  </si>
  <si>
    <t>Nombre d'avis en tant perfectionnement</t>
  </si>
  <si>
    <t>18069BAFD71373</t>
  </si>
  <si>
    <t>17/02/2018
au
25/02/2018</t>
  </si>
  <si>
    <t>Pinlet Bertrand</t>
  </si>
  <si>
    <t>Louis Jonathan
Reynaud Alexis</t>
  </si>
  <si>
    <t>BP JEPS Spécialité LTP
BAFD</t>
  </si>
  <si>
    <t>18059BAFD72382</t>
  </si>
  <si>
    <t>Perfectionnement</t>
  </si>
  <si>
    <t>27/02/2018
au
04/03/2018</t>
  </si>
  <si>
    <t>Dutilleul Marc</t>
  </si>
  <si>
    <t>18059BAFD72380</t>
  </si>
  <si>
    <t>24/02/20108
au
04/03/2018</t>
  </si>
  <si>
    <t>Boucharin Fanny</t>
  </si>
  <si>
    <t>Glorian Caroline</t>
  </si>
  <si>
    <t>18012BAFD74635</t>
  </si>
  <si>
    <t>24/04/2018
au
29/04/2018</t>
  </si>
  <si>
    <t>Perechodor Isabelle</t>
  </si>
  <si>
    <t>BEATEP</t>
  </si>
  <si>
    <t>18012BAFD74634</t>
  </si>
  <si>
    <t>21/04/2018
au
29/04/2018</t>
  </si>
  <si>
    <t>Botton Aurélien
Gonin Camille</t>
  </si>
  <si>
    <t>18035BAFD75772</t>
  </si>
  <si>
    <t>24/05/2018
au
01/06/2018</t>
  </si>
  <si>
    <t>Le Berrre Laurence</t>
  </si>
  <si>
    <t>Louis Jonathan
Villard Stéphanie</t>
  </si>
  <si>
    <t>Total Stages</t>
  </si>
  <si>
    <t>Total Stagiaires</t>
  </si>
  <si>
    <t>Présentation des Séjours SV 2018  par département avec spécification des séjours se déroulant sur des centres eedf</t>
  </si>
  <si>
    <t>DECLARATION DES SEJOURS SV ÉTÉ 2018</t>
  </si>
  <si>
    <t>type</t>
  </si>
  <si>
    <t>Pays ou région d'accueil</t>
  </si>
  <si>
    <t>Mois</t>
  </si>
  <si>
    <t>Dép.</t>
  </si>
  <si>
    <t>Ville POUR LE SIEGE</t>
  </si>
  <si>
    <t>Adresse du camp</t>
  </si>
  <si>
    <t>Lieux de camps</t>
  </si>
  <si>
    <t>Code Postal</t>
  </si>
  <si>
    <t>Ville</t>
  </si>
  <si>
    <t>Tél du camp</t>
  </si>
  <si>
    <t>Début</t>
  </si>
  <si>
    <t>Fin</t>
  </si>
  <si>
    <t>organisateur</t>
  </si>
  <si>
    <t>Directeur(trice)</t>
  </si>
  <si>
    <t>Téléphone du directeur(trice)</t>
  </si>
  <si>
    <t>e-mail, …</t>
  </si>
  <si>
    <t>Qualification (BAFD, DSF, DVLA, titulaire 1er stage, 2ème stage…)</t>
  </si>
  <si>
    <t>VISITEUR</t>
  </si>
  <si>
    <t xml:space="preserve"> Lut</t>
  </si>
  <si>
    <t>R Lut</t>
  </si>
  <si>
    <t>08-11 ANS</t>
  </si>
  <si>
    <t>R lvx</t>
  </si>
  <si>
    <t>12-14 ANS</t>
  </si>
  <si>
    <t>R Ecles</t>
  </si>
  <si>
    <t>15-17 ANS</t>
  </si>
  <si>
    <t>R Aînés</t>
  </si>
  <si>
    <t>18/25 ans</t>
  </si>
  <si>
    <t>R
18/25 ans</t>
  </si>
  <si>
    <t>Autr enc</t>
  </si>
  <si>
    <t>Adultes 18/25</t>
  </si>
  <si>
    <t>Adultes +25</t>
  </si>
  <si>
    <t>TOTAL ADULTE HANDICAP</t>
  </si>
  <si>
    <t>Anim ADULTES</t>
  </si>
  <si>
    <t>6/8</t>
  </si>
  <si>
    <t>9/11</t>
  </si>
  <si>
    <t>12/14</t>
  </si>
  <si>
    <t>15/17</t>
  </si>
  <si>
    <t>TOTAL MINEUR HANDICAP</t>
  </si>
  <si>
    <t>Anim MINEUR</t>
  </si>
  <si>
    <t>Total part</t>
  </si>
  <si>
    <t>Total enc</t>
  </si>
  <si>
    <t>Taux encadr ADULTES</t>
  </si>
  <si>
    <t>Taux encadr MINEUR</t>
  </si>
  <si>
    <t>Taux encadr TOTAL</t>
  </si>
  <si>
    <t>NOM DU SEJOUR ADULTE POUR CNLTA</t>
  </si>
  <si>
    <t>CAEN</t>
  </si>
  <si>
    <t>SV A</t>
  </si>
  <si>
    <t>BRETAGNE</t>
  </si>
  <si>
    <t>PLOUNEVEZ LOCHRIST</t>
  </si>
  <si>
    <t>MFR 9 RUE DE LA GARE</t>
  </si>
  <si>
    <t>PLOUNEVEZ</t>
  </si>
  <si>
    <t>07 72 09 56 38</t>
  </si>
  <si>
    <t>SV CAEN</t>
  </si>
  <si>
    <t>Laurent pointal</t>
  </si>
  <si>
    <t xml:space="preserve"> </t>
  </si>
  <si>
    <t>FÉÉRIE DES DUNES</t>
  </si>
  <si>
    <t>NORMANDIE</t>
  </si>
  <si>
    <t>BLANGY LE CHÂTEAU</t>
  </si>
  <si>
    <t>MFR ROUTE DU MESNIL</t>
  </si>
  <si>
    <t>BLANGY</t>
  </si>
  <si>
    <t>02 31 64 15 83</t>
  </si>
  <si>
    <t>Laurence Leberre</t>
  </si>
  <si>
    <t>DOUCEURS NORMANDES</t>
  </si>
  <si>
    <t>SV M</t>
  </si>
  <si>
    <t>CHAPELLE NEUVE</t>
  </si>
  <si>
    <t>CENTRE FORET BOCAGE - 5 HENT AN DACHENN SPORT</t>
  </si>
  <si>
    <t>22160</t>
  </si>
  <si>
    <t>02 96 21 62 34</t>
  </si>
  <si>
    <t>Marie Laure Bomba</t>
  </si>
  <si>
    <t>THORIGNE FOUILLARD</t>
  </si>
  <si>
    <t>THORIGNÉ FOUILLARD</t>
  </si>
  <si>
    <t>35510</t>
  </si>
  <si>
    <t>02 99 62 03 19</t>
  </si>
  <si>
    <t>Laurence Dally</t>
  </si>
  <si>
    <t>PLOGASTEL</t>
  </si>
  <si>
    <t>KER HEOL - 5 ROUTE DE BRISCOUL</t>
  </si>
  <si>
    <t>PLOGASTEL ST GERMAIN</t>
  </si>
  <si>
    <t>07 72 09 06 76</t>
  </si>
  <si>
    <t>Mathieu Norrigeon</t>
  </si>
  <si>
    <t>ESCALE EN BRETAGNE</t>
  </si>
  <si>
    <t>ESCAPADE BRETONNE</t>
  </si>
  <si>
    <t>NLLE AQUITAINE</t>
  </si>
  <si>
    <t>LE BUISSON DE CADOUIN</t>
  </si>
  <si>
    <t>DOMAINE DE FROMENGAL</t>
  </si>
  <si>
    <t>LE BUISSON</t>
  </si>
  <si>
    <t>06 32 26 17 75</t>
  </si>
  <si>
    <t>Leila Taamali</t>
  </si>
  <si>
    <t>DORDOGNE AVENTURES</t>
  </si>
  <si>
    <t>BAYEUX</t>
  </si>
  <si>
    <t>IME LE PRIEURE - 6 RUE DE L'EGLISE</t>
  </si>
  <si>
    <t>ST VIGOR LE GRAND</t>
  </si>
  <si>
    <t>02.31.92.77.88</t>
  </si>
  <si>
    <t>Elodie Tibedeau</t>
  </si>
  <si>
    <t>TRÉSOR NORMAND</t>
  </si>
  <si>
    <t>GRANDCAMP MAISY</t>
  </si>
  <si>
    <t>CENTRE UNCMT - QUIERI QUIERETTES - QUAI CRAMPON</t>
  </si>
  <si>
    <t>GRANDCAMP</t>
  </si>
  <si>
    <t>GRANDCAMP-MAISY</t>
  </si>
  <si>
    <t>02.31.22.60.29</t>
  </si>
  <si>
    <t>Lucile Montauban</t>
  </si>
  <si>
    <t>CÔTÉ MER</t>
  </si>
  <si>
    <t>MORTAGNE AU PERCHE</t>
  </si>
  <si>
    <t>MFR  4 RUE DU CHARTRAGE</t>
  </si>
  <si>
    <t xml:space="preserve">MORTAGNE AU PERCHE </t>
  </si>
  <si>
    <t>61400</t>
  </si>
  <si>
    <t>02 33 25 08 76</t>
  </si>
  <si>
    <t>Elodie Nicolas</t>
  </si>
  <si>
    <t>AUX PORTES DU PERCHE</t>
  </si>
  <si>
    <t>OCCITANIE</t>
  </si>
  <si>
    <t>LARQUINEL</t>
  </si>
  <si>
    <t>GITE DE LA BLAQUIERE - LARQUINEL</t>
  </si>
  <si>
    <t>VERRIERES</t>
  </si>
  <si>
    <t>06 40 83 70 74</t>
  </si>
  <si>
    <t>Dorian Justin</t>
  </si>
  <si>
    <t>AVEYRON DYNAMIQUE</t>
  </si>
  <si>
    <t>PAYS DE LOIRE</t>
  </si>
  <si>
    <t>CHEMILLE</t>
  </si>
  <si>
    <t>MFR "COULVEE" BP 80035</t>
  </si>
  <si>
    <t>02 41 30 96 33</t>
  </si>
  <si>
    <t>Laurent Pointal</t>
  </si>
  <si>
    <t>DOUCEUR ANGEVINE</t>
  </si>
  <si>
    <t>ST HILAIRE DE RIEZ</t>
  </si>
  <si>
    <t>CAMPING LA PLAGE DE RIEZ - AVENUE DES MIMOSAS</t>
  </si>
  <si>
    <t>ST HILAIRE</t>
  </si>
  <si>
    <t>06 85 52 02 75</t>
  </si>
  <si>
    <t>Joachim Fouach</t>
  </si>
  <si>
    <t>SABLE ET MERVEILLES</t>
  </si>
  <si>
    <t>ALSACE</t>
  </si>
  <si>
    <t>BELMONT</t>
  </si>
  <si>
    <t xml:space="preserve">CENTRE D'ACCUEIL LES SAPINS AU COIN DU FEU  </t>
  </si>
  <si>
    <t>67130</t>
  </si>
  <si>
    <t>03.88.97.34.57</t>
  </si>
  <si>
    <t>Jeremy Lexee</t>
  </si>
  <si>
    <t>AUVERGNE RHONE ALPES</t>
  </si>
  <si>
    <t>VISCOMTAT</t>
  </si>
  <si>
    <t>LA PLANCHE</t>
  </si>
  <si>
    <t>04.73.51.81.26</t>
  </si>
  <si>
    <t>Oumeyma Lahdi</t>
  </si>
  <si>
    <t>VALLOIRE</t>
  </si>
  <si>
    <t>73450</t>
  </si>
  <si>
    <t>06 40 83 72 45</t>
  </si>
  <si>
    <t>Emanuelle Laporte</t>
  </si>
  <si>
    <t>Sophie Baptista</t>
  </si>
  <si>
    <t>ARGOL</t>
  </si>
  <si>
    <t>29560</t>
  </si>
  <si>
    <t>06 32 26 18 04</t>
  </si>
  <si>
    <t>LOCMARIA-BERRIEN</t>
  </si>
  <si>
    <t>LA GARE</t>
  </si>
  <si>
    <t>LOCMARIA</t>
  </si>
  <si>
    <t>06 85 52 02 49</t>
  </si>
  <si>
    <t>Jonathan Louis</t>
  </si>
  <si>
    <t>HAUTS DE France</t>
  </si>
  <si>
    <t>MORBECQUE</t>
  </si>
  <si>
    <t>HAZEBROUCK</t>
  </si>
  <si>
    <t>06 85 52 03 64</t>
  </si>
  <si>
    <t>Hoel Boison</t>
  </si>
  <si>
    <t>BALLEROY</t>
  </si>
  <si>
    <t>MFR 81 RUE DES FORGES</t>
  </si>
  <si>
    <t xml:space="preserve">BALLEROY </t>
  </si>
  <si>
    <t>14490</t>
  </si>
  <si>
    <t>02 31 21 08 72</t>
  </si>
  <si>
    <t>Justine Huard</t>
  </si>
  <si>
    <t xml:space="preserve">TAILLEVILLE </t>
  </si>
  <si>
    <t>CENTRE UNCMT - MANOIR DES HAUTS TILLEULS 3 RUE DE SAINT AUBIN</t>
  </si>
  <si>
    <t>TAILLEVILLE</t>
  </si>
  <si>
    <t>02.31.37.30.38</t>
  </si>
  <si>
    <t>GRAYE SUR MER</t>
  </si>
  <si>
    <t xml:space="preserve">DOMAINE DE VAUX  </t>
  </si>
  <si>
    <t>14470</t>
  </si>
  <si>
    <t>07 72 09 56 41</t>
  </si>
  <si>
    <t>Mathilde Rodier</t>
  </si>
  <si>
    <t>06 85 52 06 44</t>
  </si>
  <si>
    <t>Dariane Clerempuy</t>
  </si>
  <si>
    <t>MORTAIN</t>
  </si>
  <si>
    <t xml:space="preserve">MFR BELLE ETOILE  </t>
  </si>
  <si>
    <t>50140</t>
  </si>
  <si>
    <t>06 85 52 37 06</t>
  </si>
  <si>
    <t>Elodie Benachour</t>
  </si>
  <si>
    <t>NOUVELLE-AQUITAINE</t>
  </si>
  <si>
    <t>MAUZENS</t>
  </si>
  <si>
    <t>LAVAURE</t>
  </si>
  <si>
    <t>24260</t>
  </si>
  <si>
    <t>LE BUGUE</t>
  </si>
  <si>
    <t>05,53,03,23,66</t>
  </si>
  <si>
    <t>Marie Mathieu</t>
  </si>
  <si>
    <t>EXOUDUN</t>
  </si>
  <si>
    <t>CARAE - 16 RUE DE PIED DE VIGNE</t>
  </si>
  <si>
    <t>79800</t>
  </si>
  <si>
    <t>05 49 05 01 87</t>
  </si>
  <si>
    <t>Alicia Poliak</t>
  </si>
  <si>
    <t>ST LOUP LAMAIRE</t>
  </si>
  <si>
    <t>MFR 2 RUE DE LA CAPE</t>
  </si>
  <si>
    <t>ST LOUP LA MAIRE</t>
  </si>
  <si>
    <t>05.49.64.60.46</t>
  </si>
  <si>
    <t>Laetitia Barraud</t>
  </si>
  <si>
    <t>BECOURS</t>
  </si>
  <si>
    <t>12520</t>
  </si>
  <si>
    <t>BEAUPREAU</t>
  </si>
  <si>
    <t>MFREO 8 RUE DES CEDRES</t>
  </si>
  <si>
    <t xml:space="preserve">BEAUPREAU </t>
  </si>
  <si>
    <t>02 41 63 92 80</t>
  </si>
  <si>
    <t>Anne Krenkner</t>
  </si>
  <si>
    <t>GEE</t>
  </si>
  <si>
    <t>MFR LA PANIGAUDIERE</t>
  </si>
  <si>
    <t>GÉE</t>
  </si>
  <si>
    <t>49250</t>
  </si>
  <si>
    <t>02 41 80 30 99</t>
  </si>
  <si>
    <t>Marine Klein</t>
  </si>
  <si>
    <t>VERNEIL</t>
  </si>
  <si>
    <t>MFR VERNEIL LE CHETIF CHÂTEAU DE MANGE</t>
  </si>
  <si>
    <t xml:space="preserve">VERNEIL  </t>
  </si>
  <si>
    <t>VERNEIL LE CHETIF</t>
  </si>
  <si>
    <t>06 40 83 71 89</t>
  </si>
  <si>
    <t>Fatima Katouf</t>
  </si>
  <si>
    <t>OLONNE SUR MER</t>
  </si>
  <si>
    <t>85340</t>
  </si>
  <si>
    <t>02.51.90.70.63</t>
  </si>
  <si>
    <t>Charlotte Leguillard</t>
  </si>
  <si>
    <t>VOSGES</t>
  </si>
  <si>
    <t>REMIREMONT</t>
  </si>
  <si>
    <t>88200</t>
  </si>
  <si>
    <t>ST ETIENNE LES REMIREMONT</t>
  </si>
  <si>
    <t>03 29 61 00 12</t>
  </si>
  <si>
    <t>Ninah Razafindrasoa</t>
  </si>
  <si>
    <t>8</t>
  </si>
  <si>
    <t>14</t>
  </si>
  <si>
    <t>14130</t>
  </si>
  <si>
    <t>Meliza Osmane</t>
  </si>
  <si>
    <t>DOUCEUR À BLANGY</t>
  </si>
  <si>
    <t>CHALON</t>
  </si>
  <si>
    <t>RECOUBEAU-JANZAC</t>
  </si>
  <si>
    <t>Gîte de Roquebel</t>
  </si>
  <si>
    <t>,</t>
  </si>
  <si>
    <t>RECOUBEAU-JANSAC</t>
  </si>
  <si>
    <t>06 35 15 89 58</t>
  </si>
  <si>
    <t>SV CHALON</t>
  </si>
  <si>
    <t>GRANDJEAN LAURENCE</t>
  </si>
  <si>
    <t>BAFA DVLA ANCIENNETE EEDF FONCTION</t>
  </si>
  <si>
    <t>Parfum de Vacances</t>
  </si>
  <si>
    <t>CHAMROUSSE</t>
  </si>
  <si>
    <t xml:space="preserve">Chalet BELLEDONNE </t>
  </si>
  <si>
    <t xml:space="preserve"> 52rue des Cargneules</t>
  </si>
  <si>
    <t>06 11 79 98 98</t>
  </si>
  <si>
    <t>MARTELLEUR AXEL</t>
  </si>
  <si>
    <t>BAFD EN COURS ANCIENNETE EEDF FONCTION</t>
  </si>
  <si>
    <t>Vert Horizon</t>
  </si>
  <si>
    <t>L'ALPE DU GRAND SERRE</t>
  </si>
  <si>
    <t xml:space="preserve">GITE LE BIENVEILLANT </t>
  </si>
  <si>
    <t xml:space="preserve"> Le Désert</t>
  </si>
  <si>
    <t>06 35 35 56 79</t>
  </si>
  <si>
    <t>CAILLET CORENTIN</t>
  </si>
  <si>
    <t>EQUIVALENCE BAFD ANCIENNETE EEDF PUBLIC</t>
  </si>
  <si>
    <t xml:space="preserve"> Montagne Emotion</t>
  </si>
  <si>
    <t>STE CONSEORCE</t>
  </si>
  <si>
    <t xml:space="preserve">M.F.R. OUEST Lyonnais </t>
  </si>
  <si>
    <t xml:space="preserve"> La Brossonière</t>
  </si>
  <si>
    <t>STE CONSORCE</t>
  </si>
  <si>
    <t>06 35 24 39 16</t>
  </si>
  <si>
    <t>JAEGLE MELANIE</t>
  </si>
  <si>
    <t>ANCIENNETE EEDF PUBLIC</t>
  </si>
  <si>
    <t>Parenthèse Lyonnaise</t>
  </si>
  <si>
    <t>THURINS</t>
  </si>
  <si>
    <t xml:space="preserve">Gîte Albaydo </t>
  </si>
  <si>
    <t xml:space="preserve"> Le Bayard</t>
  </si>
  <si>
    <t>06 46 79 53 32</t>
  </si>
  <si>
    <t>ABDOU NAIMI</t>
  </si>
  <si>
    <t>Bouchons Lyonnais</t>
  </si>
  <si>
    <t>ALBIEZ-MONTROND</t>
  </si>
  <si>
    <t>Action Pleine Nature</t>
  </si>
  <si>
    <t>Le Chalmieu</t>
  </si>
  <si>
    <t>06 24 49 50 72</t>
  </si>
  <si>
    <t>BOUALI NORDINE</t>
  </si>
  <si>
    <t>BAFD DVLA ANCIENNETE EEDF FONCTION</t>
  </si>
  <si>
    <t>Break Altitude</t>
  </si>
  <si>
    <t>ARECHES BEAUFORT</t>
  </si>
  <si>
    <t xml:space="preserve">CHALET Le Chornais </t>
  </si>
  <si>
    <t>Arêches</t>
  </si>
  <si>
    <t>06 34 01 23 26</t>
  </si>
  <si>
    <t>CROQUETTE QUENTIN</t>
  </si>
  <si>
    <t>BAFA DEME EN COURS ANCIENNETE EEDF PUBLIC</t>
  </si>
  <si>
    <t>Pays du Beaufortin</t>
  </si>
  <si>
    <t xml:space="preserve"> BONNE</t>
  </si>
  <si>
    <t xml:space="preserve">M.F.R. </t>
  </si>
  <si>
    <t xml:space="preserve"> 1154 route des Alluaz</t>
  </si>
  <si>
    <t>06 24 04 43 08</t>
  </si>
  <si>
    <t>OGER AYMERIC</t>
  </si>
  <si>
    <t>BAFA ANCIENNETE EEDF FONCTION</t>
  </si>
  <si>
    <t>En bleu et vert</t>
  </si>
  <si>
    <t>BONNE</t>
  </si>
  <si>
    <t>Escapade gourmande</t>
  </si>
  <si>
    <t>SALLANCHES</t>
  </si>
  <si>
    <t xml:space="preserve">MFR LE CLOS DES BAZ </t>
  </si>
  <si>
    <t xml:space="preserve"> 240av André Lesquin</t>
  </si>
  <si>
    <t>06 14 13 16 13</t>
  </si>
  <si>
    <t>GAILLOU ANTOINE</t>
  </si>
  <si>
    <t>BAFD EN COURS DVLA ANCIENNETE EEDF FONCTION</t>
  </si>
  <si>
    <t>Vue sur le Mont Blanc</t>
  </si>
  <si>
    <t>BAGE LE CHATEL</t>
  </si>
  <si>
    <t xml:space="preserve">MFR </t>
  </si>
  <si>
    <t xml:space="preserve"> 325 Chemin de Ronde</t>
  </si>
  <si>
    <t>06 24 60 98 82</t>
  </si>
  <si>
    <t>Ainstant détente</t>
  </si>
  <si>
    <t>CHALENCON</t>
  </si>
  <si>
    <t>Gîte Les Blés d'Or</t>
  </si>
  <si>
    <t>06 46 76 97 53</t>
  </si>
  <si>
    <t>BAUDRY Floriane</t>
  </si>
  <si>
    <t>Ardech'show !</t>
  </si>
  <si>
    <t>BOURGOGNE-FRANCHE COMTÉ</t>
  </si>
  <si>
    <t>DIJON</t>
  </si>
  <si>
    <t xml:space="preserve">ETHIC ETAPES </t>
  </si>
  <si>
    <t xml:space="preserve"> 1 avenue Champollion</t>
  </si>
  <si>
    <t>06 35 25 86 30</t>
  </si>
  <si>
    <t>BOLLET-SADRIN Aurélie</t>
  </si>
  <si>
    <t>Chouette Vacances</t>
  </si>
  <si>
    <t xml:space="preserve">BOLLET-SADRIN Aurélie </t>
  </si>
  <si>
    <t>Au cœur de la ville</t>
  </si>
  <si>
    <t>ARC-SOUS-CICON</t>
  </si>
  <si>
    <t xml:space="preserve">Ferme petit pâturage </t>
  </si>
  <si>
    <t xml:space="preserve"> Gîte Le Ptit coin de Paradis</t>
  </si>
  <si>
    <t>06 24 82 54 05</t>
  </si>
  <si>
    <t>SERPEAU MATHILDE</t>
  </si>
  <si>
    <t>BAFD EN COURS DEES EN COURS ANCIENNETE EEDF PUBLIC</t>
  </si>
  <si>
    <t>Bienvenue à la ferme</t>
  </si>
  <si>
    <t>LA ROSIERE</t>
  </si>
  <si>
    <t xml:space="preserve">M.F.R. La Source du Tampa </t>
  </si>
  <si>
    <t xml:space="preserve"> Rte des Forts</t>
  </si>
  <si>
    <t>06 29 34 58 58</t>
  </si>
  <si>
    <t>MASTRORILLO MARGO</t>
  </si>
  <si>
    <t>DEUG STAPS EN COURS DVLA EN COURS EXPERIENCE PUBLIC</t>
  </si>
  <si>
    <t>Ambiance Zen</t>
  </si>
  <si>
    <t>DOM TOM</t>
  </si>
  <si>
    <t>GUADELOUPE</t>
  </si>
  <si>
    <t xml:space="preserve">92 imp. Fraiderick L'Houezel </t>
  </si>
  <si>
    <t xml:space="preserve"> Le Gosier</t>
  </si>
  <si>
    <t>03 85 43 60 76</t>
  </si>
  <si>
    <t>FLITI LOUISE</t>
  </si>
  <si>
    <t>Sous les Cocotiers</t>
  </si>
  <si>
    <t>LA RIVIERE ST-LOUIS - LA REUNION</t>
  </si>
  <si>
    <t xml:space="preserve">LE VILLAGE </t>
  </si>
  <si>
    <t xml:space="preserve"> 17/19 chemin Guichard</t>
  </si>
  <si>
    <t>GUERTAULT PATRICK</t>
  </si>
  <si>
    <t>BAFD ANCIENNETE EEDF FONCTION</t>
  </si>
  <si>
    <t>Couleurs Créoles</t>
  </si>
  <si>
    <t>ET</t>
  </si>
  <si>
    <t>Chania - CRETE</t>
  </si>
  <si>
    <t xml:space="preserve">Manos appt, Kavros </t>
  </si>
  <si>
    <t xml:space="preserve"> Paralia Kournas, Georgioupoli</t>
  </si>
  <si>
    <t>Chania - 73007 CRETE</t>
  </si>
  <si>
    <t>RIVAIN LUCIE</t>
  </si>
  <si>
    <t>BAFA  ANCIENNETE EEDF FONCTION</t>
  </si>
  <si>
    <t>Odyssée Crétoise</t>
  </si>
  <si>
    <t>HR-52204 LIZNJAN-CROATIE</t>
  </si>
  <si>
    <t>HOUSE***PALMA SMILJEVAC50</t>
  </si>
  <si>
    <t>HR-52204 LIZNJAN-52204 CROATIE</t>
  </si>
  <si>
    <t>GIAMMONA EMMANUEL</t>
  </si>
  <si>
    <t>DEME ANCIENNETE EEDF FONCTION</t>
  </si>
  <si>
    <t>Perle de l'Adriatique</t>
  </si>
  <si>
    <t>San Pietro in Cariano (VR) -  ITALY</t>
  </si>
  <si>
    <t xml:space="preserve">VILLA San Bonifacio </t>
  </si>
  <si>
    <t xml:space="preserve"> Via Chiesa n10</t>
  </si>
  <si>
    <t>MEZRAG SABRINA</t>
  </si>
  <si>
    <t>La Dolce Vita</t>
  </si>
  <si>
    <t xml:space="preserve">ETRANGER </t>
  </si>
  <si>
    <t>COIMBRA-PORTUGAL</t>
  </si>
  <si>
    <t xml:space="preserve">Villa Bisou </t>
  </si>
  <si>
    <t xml:space="preserve"> 3080/177 Figueira Da Foz</t>
  </si>
  <si>
    <t>GIGNAT MELISSA</t>
  </si>
  <si>
    <t>Beijos de Portugal</t>
  </si>
  <si>
    <t>GRAND-EST</t>
  </si>
  <si>
    <t>DOULAINCOURT</t>
  </si>
  <si>
    <t xml:space="preserve">MFR de Montrol </t>
  </si>
  <si>
    <t xml:space="preserve"> 12 rue Toupot BP17</t>
  </si>
  <si>
    <t>06 27 66 57 19</t>
  </si>
  <si>
    <t>Pause bien être</t>
  </si>
  <si>
    <t>CORNIMONT</t>
  </si>
  <si>
    <t xml:space="preserve">Gîte Le Montagnard </t>
  </si>
  <si>
    <t xml:space="preserve"> 13ch. des Chauds Fours</t>
  </si>
  <si>
    <t>06 35 14 19 77</t>
  </si>
  <si>
    <t>BAKIRI INES</t>
  </si>
  <si>
    <t>BAFD EN COURS EXPERIENCE PUBLIC</t>
  </si>
  <si>
    <t xml:space="preserve"> Gourmandises des Vosges</t>
  </si>
  <si>
    <t>NOUVELLE AQUITAINE</t>
  </si>
  <si>
    <t>PAYS BASQUES</t>
  </si>
  <si>
    <t>Séjour itinérant</t>
  </si>
  <si>
    <t>ITI</t>
  </si>
  <si>
    <t>06 12 76 61 96</t>
  </si>
  <si>
    <t>REBATET ELENA</t>
  </si>
  <si>
    <t xml:space="preserve">BAFD DVLA ANCIENNETE EEDF FONCTION </t>
  </si>
  <si>
    <t>Aventure Insolite</t>
  </si>
  <si>
    <t>ALZON</t>
  </si>
  <si>
    <t xml:space="preserve">Gîte Le Colombier </t>
  </si>
  <si>
    <t xml:space="preserve"> Ch. de la laiterie</t>
  </si>
  <si>
    <t>06 19 74 98 79</t>
  </si>
  <si>
    <t>MILOUDI RADJAE</t>
  </si>
  <si>
    <t>Aux portes du soleil</t>
  </si>
  <si>
    <t>LA ROUVIERE</t>
  </si>
  <si>
    <t xml:space="preserve">La MAS d'Yvette </t>
  </si>
  <si>
    <t xml:space="preserve"> 10 grde rue</t>
  </si>
  <si>
    <t>06 21 32 13 08</t>
  </si>
  <si>
    <t>MAS JULIE</t>
  </si>
  <si>
    <t>BAFA BPJEPS EN COURS ANCIENNETE EEDF FONCTION</t>
  </si>
  <si>
    <t>Au son des Cigales</t>
  </si>
  <si>
    <t>ARGELES-SUR-MER</t>
  </si>
  <si>
    <t xml:space="preserve">Camping SOL Y MAR </t>
  </si>
  <si>
    <t xml:space="preserve"> Chemin de la Salanque</t>
  </si>
  <si>
    <t>06 13 72 53 37</t>
  </si>
  <si>
    <t>HANNACHI AHMED</t>
  </si>
  <si>
    <t xml:space="preserve">Les Pieds dans l'Eau </t>
  </si>
  <si>
    <t>Les Flots Bleus</t>
  </si>
  <si>
    <t>ST PIERRE DELS FORCATS</t>
  </si>
  <si>
    <t xml:space="preserve"> 29 rte des Narcisses</t>
  </si>
  <si>
    <t>06 27 47 98 60</t>
  </si>
  <si>
    <t>ANNULE</t>
  </si>
  <si>
    <t>TERMOZ GREGORY</t>
  </si>
  <si>
    <t>BAFD BPJEPS EXPERIENCE FONCTION ET PUBLIC</t>
  </si>
  <si>
    <t>Au pied des pyrénées</t>
  </si>
  <si>
    <t>TORREILLES</t>
  </si>
  <si>
    <t xml:space="preserve">Camping Le Trivoly </t>
  </si>
  <si>
    <t xml:space="preserve"> 5 Bd des plages</t>
  </si>
  <si>
    <t>06 11 95 14 70</t>
  </si>
  <si>
    <t>GRINES HENRICK</t>
  </si>
  <si>
    <t xml:space="preserve"> St Cyp'Plage</t>
  </si>
  <si>
    <t>L'ISLE/LA SORGUE</t>
  </si>
  <si>
    <t xml:space="preserve">Camping Airotel La Sorguette </t>
  </si>
  <si>
    <t xml:space="preserve"> 871 Rte d'Apt</t>
  </si>
  <si>
    <t>06 12 39 25 81</t>
  </si>
  <si>
    <t>PAILLARD GERALDINE</t>
  </si>
  <si>
    <t xml:space="preserve">BAFD EN COURS DEJEPS EN COURS ANCIENNETE EEDF </t>
  </si>
  <si>
    <t>Couleur Provencale</t>
  </si>
  <si>
    <t>MONÊTIER LES BAINS</t>
  </si>
  <si>
    <t xml:space="preserve"> EEDF Les Boussardes</t>
  </si>
  <si>
    <t>06 22 97 22 88</t>
  </si>
  <si>
    <t>GEREMY MEGGUY</t>
  </si>
  <si>
    <t>Ecrin de Verdure</t>
  </si>
  <si>
    <t>ST JEANNET</t>
  </si>
  <si>
    <t xml:space="preserve">Gîte Des Baous </t>
  </si>
  <si>
    <t xml:space="preserve"> 101 rue de la ferrage</t>
  </si>
  <si>
    <t>06 13 63 47 71</t>
  </si>
  <si>
    <t>MAJOREL AGNES</t>
  </si>
  <si>
    <t>BAFD BPJEPS DVLA ANCIENNETE EEDF FONCTION</t>
  </si>
  <si>
    <t>Costa Azzura</t>
  </si>
  <si>
    <t>ST ANDRE LE GAZ</t>
  </si>
  <si>
    <t xml:space="preserve">M.F.R. le Chalet </t>
  </si>
  <si>
    <t>9 rue de La Fontaine</t>
  </si>
  <si>
    <t>06 27 58 73 60</t>
  </si>
  <si>
    <t>SEGURA ANTHONY</t>
  </si>
  <si>
    <t xml:space="preserve">Nature &amp; Sensations </t>
  </si>
  <si>
    <t>CROTENAY</t>
  </si>
  <si>
    <t xml:space="preserve">Gîte de la Praz </t>
  </si>
  <si>
    <t xml:space="preserve"> 48 Rte de la Vouivre</t>
  </si>
  <si>
    <t>06 29 22 99 90</t>
  </si>
  <si>
    <t>FERRA GARCIA ELODIE</t>
  </si>
  <si>
    <t xml:space="preserve">BPJEPS LTP EN COURS </t>
  </si>
  <si>
    <t>P'tits loups du Jura</t>
  </si>
  <si>
    <t>PREMANON</t>
  </si>
  <si>
    <t xml:space="preserve">Centre Prémonval </t>
  </si>
  <si>
    <t xml:space="preserve"> 440 Ch de Peroseys</t>
  </si>
  <si>
    <t>06 27 84 61 28</t>
  </si>
  <si>
    <t>FERHI SABAH</t>
  </si>
  <si>
    <t>BAFD EN COURS ANCIENNE EEDF PUBLIC</t>
  </si>
  <si>
    <t xml:space="preserve">Kids cool  </t>
  </si>
  <si>
    <t>ETANG-SUR-ARROUX</t>
  </si>
  <si>
    <t xml:space="preserve">M.F.R </t>
  </si>
  <si>
    <t xml:space="preserve"> Chemin des Guillemots</t>
  </si>
  <si>
    <t>06 29 33 93 47</t>
  </si>
  <si>
    <t>MARAIS NICOLAS</t>
  </si>
  <si>
    <t xml:space="preserve">BAFD EN COURS </t>
  </si>
  <si>
    <t xml:space="preserve">Esprit Aventure </t>
  </si>
  <si>
    <t>GRAND-EST / BOURGOGNE FC</t>
  </si>
  <si>
    <t>52/25/88/67/68</t>
  </si>
  <si>
    <t>ITINERANT EST France Allemagne</t>
  </si>
  <si>
    <t>06 34 61 84 22</t>
  </si>
  <si>
    <t>DARRIET Maëva</t>
  </si>
  <si>
    <t xml:space="preserve">Teen et Go ! </t>
  </si>
  <si>
    <t xml:space="preserve"> VERRIERES</t>
  </si>
  <si>
    <t>Hameau de Bécours</t>
  </si>
  <si>
    <t>06 29 33 93 28</t>
  </si>
  <si>
    <t>AUDO VINCENT</t>
  </si>
  <si>
    <t xml:space="preserve">Opération Robinson  </t>
  </si>
  <si>
    <t>PAULINET</t>
  </si>
  <si>
    <t xml:space="preserve">Ferme Péda. Au Fer à Cheval </t>
  </si>
  <si>
    <t xml:space="preserve"> La Bourrelié</t>
  </si>
  <si>
    <t>06 27 83 54 58</t>
  </si>
  <si>
    <t>DEHON CYPRIEN</t>
  </si>
  <si>
    <t>BAFD EN COURS EXPERIENCE FONCTION EEDF</t>
  </si>
  <si>
    <t>Fermiers en herbe</t>
  </si>
  <si>
    <t>ORLÉANS</t>
  </si>
  <si>
    <t>AUVERGNE-RHÔNE-ALPES</t>
  </si>
  <si>
    <t>Domaine de la Planche</t>
  </si>
  <si>
    <t>SV ORLEANS</t>
  </si>
  <si>
    <t>AKKOUCHE ZOUINA SORAYA</t>
  </si>
  <si>
    <t>soraya059@hotmail.fr</t>
  </si>
  <si>
    <t>2nd Degré - AVLA - DVLA + Expérience</t>
  </si>
  <si>
    <t>EVASION NATURE</t>
  </si>
  <si>
    <t>CHATELAILLON-PLAGE</t>
  </si>
  <si>
    <t xml:space="preserve">Camping Corsaires des 2 Plages </t>
  </si>
  <si>
    <t>avenue d'Angoulins</t>
  </si>
  <si>
    <t>SEFFAHI Loic</t>
  </si>
  <si>
    <t>loic.seffahi@gmail.com</t>
  </si>
  <si>
    <t>BAFA - DVLA + Expérience</t>
  </si>
  <si>
    <t>TRESORS ET PLAGE</t>
  </si>
  <si>
    <t>SAINT-SECONDIN</t>
  </si>
  <si>
    <t xml:space="preserve">Centre d'hebergement la Cavaliere </t>
  </si>
  <si>
    <t>1 place de la Mairie</t>
  </si>
  <si>
    <t>EL QANDILI Zouhir</t>
  </si>
  <si>
    <t>zouhir.elqandili@sfr.fr</t>
  </si>
  <si>
    <t>DVLA - Ancienneté</t>
  </si>
  <si>
    <t>QUE VIENNE L'ÉTÉ</t>
  </si>
  <si>
    <t>PORNIC</t>
  </si>
  <si>
    <t xml:space="preserve">Camping la Boutinardiere </t>
  </si>
  <si>
    <t>23 rue de la plage de la Boutinardiere</t>
  </si>
  <si>
    <t>GERARD Roland</t>
  </si>
  <si>
    <t>roland.gerard@live.fr</t>
  </si>
  <si>
    <t xml:space="preserve">BAFA - Equivalence BAFD - DVLA </t>
  </si>
  <si>
    <t>SOLEIL DE PORNIC</t>
  </si>
  <si>
    <t>LA MOTHE ACHARD</t>
  </si>
  <si>
    <t xml:space="preserve">MFR les Mimosas </t>
  </si>
  <si>
    <t>2 rue Jean Yole</t>
  </si>
  <si>
    <t>RIGAULT LOIC</t>
  </si>
  <si>
    <t>rigault.l@gmail.com</t>
  </si>
  <si>
    <t>BAFA - DVLA en cours - Ancienneté</t>
  </si>
  <si>
    <t>ENTRE TERRE ET MER</t>
  </si>
  <si>
    <t>MESCHERS</t>
  </si>
  <si>
    <t xml:space="preserve">Centre Adrien Roche </t>
  </si>
  <si>
    <t>65 bd de Suzac</t>
  </si>
  <si>
    <t>TROUPET Alexandra</t>
  </si>
  <si>
    <t>naninonu@hotmail.fr</t>
  </si>
  <si>
    <t>BAFA -BAFD - DVLA complet +Expérience+Ancienneté</t>
  </si>
  <si>
    <t>ASIE</t>
  </si>
  <si>
    <t>Itinérant VIETNAM</t>
  </si>
  <si>
    <t>LEGER Thomas</t>
  </si>
  <si>
    <t>leger.thomas@live.fr</t>
  </si>
  <si>
    <t>AVLA - DVLA + Experience + Ancienneté</t>
  </si>
  <si>
    <t>LE DRAGON DE L'ASIE</t>
  </si>
  <si>
    <t>CHABONS</t>
  </si>
  <si>
    <t>Lycée Agricole</t>
  </si>
  <si>
    <t>13 rue de l'Eglise</t>
  </si>
  <si>
    <t>Experience + Ancienneté</t>
  </si>
  <si>
    <t>VACANCES DECOUVERTES</t>
  </si>
  <si>
    <t>VERNINES</t>
  </si>
  <si>
    <t xml:space="preserve">MFR  </t>
  </si>
  <si>
    <t>Le Bourg</t>
  </si>
  <si>
    <t>Pirastu François</t>
  </si>
  <si>
    <t>mumu-46@hotmail.fr</t>
  </si>
  <si>
    <t>AMP - AVLA - DVLA - Expérience + Ancienneté</t>
  </si>
  <si>
    <t>TERRE D'AUVERGNE</t>
  </si>
  <si>
    <t>AU CŒUR DES VOLCANS</t>
  </si>
  <si>
    <t>SAINT JOSEPH DES BANCS</t>
  </si>
  <si>
    <t xml:space="preserve">Centre La Boussole </t>
  </si>
  <si>
    <t xml:space="preserve">Le Village </t>
  </si>
  <si>
    <t>DIOP HAWA</t>
  </si>
  <si>
    <t>hdiop79@gmail.com</t>
  </si>
  <si>
    <t>Expérience + Ancienneté</t>
  </si>
  <si>
    <t>SENSATION ARDECHE</t>
  </si>
  <si>
    <t>PLOUNEOUR TREZ</t>
  </si>
  <si>
    <t xml:space="preserve">Maison de la Baie </t>
  </si>
  <si>
    <t xml:space="preserve">3 rue Saint Pierre </t>
  </si>
  <si>
    <t>BOULE Gilles</t>
  </si>
  <si>
    <t>boulygilles@hotmail.fr</t>
  </si>
  <si>
    <t>REVE DE MER</t>
  </si>
  <si>
    <t>GUIDEL</t>
  </si>
  <si>
    <t>Home de Kergaher</t>
  </si>
  <si>
    <t>Kergaher</t>
  </si>
  <si>
    <t>BREIZH D'ÉTÉ</t>
  </si>
  <si>
    <t>LA TRINITÉ-SUR-MER</t>
  </si>
  <si>
    <t xml:space="preserve">Maison des Salines </t>
  </si>
  <si>
    <t>Kerdual</t>
  </si>
  <si>
    <t>SEFFAHI Loïc</t>
  </si>
  <si>
    <t>BAFA - DVLA Complet + Experience + Ancienneté</t>
  </si>
  <si>
    <t>AU LARGE DES SALINES</t>
  </si>
  <si>
    <t>PRIZIAC</t>
  </si>
  <si>
    <t xml:space="preserve">Hostellerie Saint Michel </t>
  </si>
  <si>
    <t>Saint Michel</t>
  </si>
  <si>
    <t>AYOUB fariel</t>
  </si>
  <si>
    <t>ayoubfariel@live.fr</t>
  </si>
  <si>
    <t xml:space="preserve">Expérience </t>
  </si>
  <si>
    <t>PAUSE MARINE</t>
  </si>
  <si>
    <t>PETITE VIREE EN BRETAGNE</t>
  </si>
  <si>
    <t>SAINT PIERRE QUIBERON</t>
  </si>
  <si>
    <t xml:space="preserve">Home des Pins </t>
  </si>
  <si>
    <t>67 avenue de Saint Malo</t>
  </si>
  <si>
    <t>PELISSIER LILIAN</t>
  </si>
  <si>
    <t>lilian.pelissier@gmail.com</t>
  </si>
  <si>
    <t>Experience public</t>
  </si>
  <si>
    <t>PRESQU'ÎLE DE REVE</t>
  </si>
  <si>
    <t>EUROPE</t>
  </si>
  <si>
    <t>CASAL PALOCCO - Italie</t>
  </si>
  <si>
    <t xml:space="preserve">Camping Village Fabulous </t>
  </si>
  <si>
    <t>Via di Malafede  205</t>
  </si>
  <si>
    <t>BELLA ROMA</t>
  </si>
  <si>
    <t>SEVILLE</t>
  </si>
  <si>
    <t>Albergue Inturjoven (Auberge de Jeunesse)</t>
  </si>
  <si>
    <t>Calle de Isaac Peral, 2</t>
  </si>
  <si>
    <t>FOURMONT VETEA</t>
  </si>
  <si>
    <t>fourmont.vetea@gmail.com</t>
  </si>
  <si>
    <t>DVLA en cours + Ancienneté</t>
  </si>
  <si>
    <t>AU CŒUR DE L'ANDALOUSIE</t>
  </si>
  <si>
    <t>BUSSANG</t>
  </si>
  <si>
    <t>Gîte “Les Sources”</t>
  </si>
  <si>
    <t>12 Route des Sources</t>
  </si>
  <si>
    <t>BAIGA RACHID</t>
  </si>
  <si>
    <t>1baiga.rachid@gmail.com</t>
  </si>
  <si>
    <t>BAFD en cours</t>
  </si>
  <si>
    <t>VOSGES GOURMANDES</t>
  </si>
  <si>
    <t>BIVILLE</t>
  </si>
  <si>
    <t xml:space="preserve">Gîte les Gravelos </t>
  </si>
  <si>
    <t>143 rue de l'Église</t>
  </si>
  <si>
    <t>TRESORS DU COTENTIN</t>
  </si>
  <si>
    <t>LA PERUSE</t>
  </si>
  <si>
    <t>5 rte de Loubert</t>
  </si>
  <si>
    <t>KAMENI CHIEPI Manuella</t>
  </si>
  <si>
    <t>Manuela.kameni@gmail.com</t>
  </si>
  <si>
    <t>BPJEPS Animation sociale</t>
  </si>
  <si>
    <t>CHARENTE INSOLITE</t>
  </si>
  <si>
    <t>CAP ATLANTIQUE</t>
  </si>
  <si>
    <t>PERIGUEUX</t>
  </si>
  <si>
    <t>20 rue de Beaulieu BP 70053</t>
  </si>
  <si>
    <t>PAUSE EN DORDOGNE</t>
  </si>
  <si>
    <t>SAVEUR DU PERIGORD</t>
  </si>
  <si>
    <t>LEGE CAP FERRET</t>
  </si>
  <si>
    <t xml:space="preserve">Camping les Embruns </t>
  </si>
  <si>
    <t xml:space="preserve">avenue Edouard Branly </t>
  </si>
  <si>
    <t>Equivalence BAFD - DVLA en cours + anciennté</t>
  </si>
  <si>
    <t>LES VRAIES VACANCES</t>
  </si>
  <si>
    <t>CHÉMÉRÉ</t>
  </si>
  <si>
    <t>Gîte la Baronnerie</t>
  </si>
  <si>
    <t xml:space="preserve"> lieu dit la Baronnerie</t>
  </si>
  <si>
    <t>LA COTE DE JADE</t>
  </si>
  <si>
    <t>BARA ZAHRA</t>
  </si>
  <si>
    <t>Zahrabara436@yahoo.fr</t>
  </si>
  <si>
    <t>BAFD en cours + Expérience + Ancienneté</t>
  </si>
  <si>
    <t>VENT DU LARGE</t>
  </si>
  <si>
    <t>PORNICHET</t>
  </si>
  <si>
    <t>Camping Bel Air</t>
  </si>
  <si>
    <t>Avenue de Bonne Source</t>
  </si>
  <si>
    <t>SALOME ANASTASIA</t>
  </si>
  <si>
    <t>salomeanastasia@gmail.com</t>
  </si>
  <si>
    <t>ESCAPADE MARINE</t>
  </si>
  <si>
    <t>SEMUR LOREN</t>
  </si>
  <si>
    <t>lolo.loren@laposte.net</t>
  </si>
  <si>
    <t>Experience public et fonctionh</t>
  </si>
  <si>
    <t>GALOP DE L'ATLANTIQUE</t>
  </si>
  <si>
    <t>DJILI ZAHIYA</t>
  </si>
  <si>
    <t>lina-cerconstructions@outlook.fr</t>
  </si>
  <si>
    <t>BAFA + Expérience +Ancienneté</t>
  </si>
  <si>
    <t>DYNAMIQUE LITTORAL</t>
  </si>
  <si>
    <t>MOUILLERON EN PAREDS</t>
  </si>
  <si>
    <t>10 rue du Pavé</t>
  </si>
  <si>
    <t>BRIOT Anaïs</t>
  </si>
  <si>
    <t>aeka88@gmail.com</t>
  </si>
  <si>
    <t>BRISE OCEANE</t>
  </si>
  <si>
    <t>PROVENCE-ALPES-CÔTE D'AZUR</t>
  </si>
  <si>
    <t>CARRY-LE-ROUET</t>
  </si>
  <si>
    <t>Camping Lou Souleï</t>
  </si>
  <si>
    <t>Avenue Draio de la Mar</t>
  </si>
  <si>
    <t>M'BOUMBA YANDREPOT NATHAN FRANCKY</t>
  </si>
  <si>
    <t>mboumba.nathan@gmail.com</t>
  </si>
  <si>
    <t>DVLA COMPLET +Experience</t>
  </si>
  <si>
    <t>LA COTE BLEUE</t>
  </si>
  <si>
    <t>BAZOLLES</t>
  </si>
  <si>
    <t xml:space="preserve"> ACTIVITAL Base  Sport &amp; Nature de Baye</t>
  </si>
  <si>
    <t>Étang de Baye</t>
  </si>
  <si>
    <t>bindner atlante</t>
  </si>
  <si>
    <t>atlantebindner@hotmail.fr</t>
  </si>
  <si>
    <t>BAFD en cours (stage pratique) + Expérience</t>
  </si>
  <si>
    <t>SANTEC</t>
  </si>
  <si>
    <t>Centre Nature Bon Vent</t>
  </si>
  <si>
    <t>87 Rue de la Forêt</t>
  </si>
  <si>
    <t>DERAHARONIAN Celine</t>
  </si>
  <si>
    <t>celinederaha@hotmail.fr</t>
  </si>
  <si>
    <t>Equivalence BAFD - BPJEPS LTP - DVLA  + Ancienneté</t>
  </si>
  <si>
    <t>CENTRE-VAL-DE-LOIRE</t>
  </si>
  <si>
    <t>LE BLANC</t>
  </si>
  <si>
    <t xml:space="preserve">Base de plein air du Blanc </t>
  </si>
  <si>
    <t>Les Landelles</t>
  </si>
  <si>
    <t>COTREL Ludovic</t>
  </si>
  <si>
    <t>LUDO.COTREL.22@GMAIL.COM</t>
  </si>
  <si>
    <t>BAFD en cours (stage pratique) - DVLA en cours + expérience + Ancienneté</t>
  </si>
  <si>
    <t>BERNIERES SUR MER</t>
  </si>
  <si>
    <t xml:space="preserve">La Closerie des Djinns </t>
  </si>
  <si>
    <t>Place de l'Église</t>
  </si>
  <si>
    <t>Naulin David</t>
  </si>
  <si>
    <t>davidnaulin@hotmail.com</t>
  </si>
  <si>
    <t>BAFD - DVLA Complet + Expérience</t>
  </si>
  <si>
    <t>SAINT VALERY EN CAUX</t>
  </si>
  <si>
    <t>MFR</t>
  </si>
  <si>
    <t>6 Rue nationale</t>
  </si>
  <si>
    <t>DEPARIS Quentin</t>
  </si>
  <si>
    <t>quentin.deparis@hotmail.fr</t>
  </si>
  <si>
    <t>AVLA DVLA Expérience - BAFA - Equivalence BAFD - DEES</t>
  </si>
  <si>
    <t>SAADAOUI Abdelkader</t>
  </si>
  <si>
    <t>abdelkadersaadaoui88@yahoo.fr</t>
  </si>
  <si>
    <t>BEATAP Enfance et Jeunesse et DEETS - Equivalence BAFD + Expérience + Ancienneté</t>
  </si>
  <si>
    <t>Nb de vacanciers</t>
  </si>
  <si>
    <t>Nb de séjours</t>
  </si>
  <si>
    <t>Code insee</t>
  </si>
  <si>
    <t>type centre</t>
  </si>
  <si>
    <t>nb de vacanciers</t>
  </si>
  <si>
    <t>TOTAL PARTI</t>
  </si>
  <si>
    <t>CAMPS</t>
  </si>
  <si>
    <t>SV</t>
  </si>
  <si>
    <t>66188</t>
  </si>
  <si>
    <t>nom des centres</t>
  </si>
  <si>
    <t>code insee</t>
  </si>
  <si>
    <t>Par centre, nombre de CAMPS/SV/ BAFA/ BAFD en 2018</t>
  </si>
  <si>
    <t>Présentation des tranche d’âges d’enfants par centre sur les camps 2018</t>
  </si>
  <si>
    <t>lutins</t>
  </si>
  <si>
    <t>louveteaux</t>
  </si>
  <si>
    <t>éclés</t>
  </si>
  <si>
    <t>ainés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</si>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</sst>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#&quot; &quot;##&quot; &quot;##&quot; &quot;##&quot; &quot;##"/>
    <numFmt numFmtId="165" formatCode="00"/>
    <numFmt numFmtId="169" formatCode="dd/mm/yy;@"/>
    <numFmt numFmtId="170" formatCode="d/m/yy"/>
    <numFmt numFmtId="171" formatCode="00000"/>
  </numFmts>
  <fonts count="6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charset val="1"/>
    </font>
    <font>
      <b/>
      <sz val="22"/>
      <name val="Calibri"/>
      <family val="2"/>
      <charset val="1"/>
    </font>
    <font>
      <b/>
      <sz val="11"/>
      <color rgb="FF3366FF"/>
      <name val="Calibri"/>
      <family val="2"/>
    </font>
    <font>
      <b/>
      <i/>
      <sz val="11"/>
      <color rgb="FFC00000"/>
      <name val="Calibri"/>
      <family val="2"/>
    </font>
    <font>
      <b/>
      <sz val="11"/>
      <color rgb="FFC00000"/>
      <name val="Calibri"/>
      <family val="2"/>
    </font>
    <font>
      <b/>
      <sz val="18"/>
      <color rgb="FFC00000"/>
      <name val="Calibri"/>
      <family val="2"/>
    </font>
    <font>
      <b/>
      <sz val="18"/>
      <color rgb="FF008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1"/>
      <color theme="1"/>
      <name val="Calibri"/>
      <family val="2"/>
    </font>
    <font>
      <sz val="18"/>
      <color rgb="FFFF0000"/>
      <name val="Calibri"/>
      <family val="2"/>
      <scheme val="minor"/>
    </font>
    <font>
      <sz val="18"/>
      <color rgb="FF008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008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0"/>
      <name val="Calibri"/>
      <family val="2"/>
    </font>
    <font>
      <b/>
      <sz val="9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Calibri"/>
      <family val="2"/>
      <scheme val="minor"/>
    </font>
    <font>
      <b/>
      <u/>
      <sz val="10"/>
      <color indexed="12"/>
      <name val="Arial"/>
      <family val="2"/>
    </font>
    <font>
      <b/>
      <sz val="9"/>
      <color rgb="FFFF0000"/>
      <name val="Calibri"/>
      <family val="2"/>
      <scheme val="minor"/>
    </font>
    <font>
      <b/>
      <sz val="9"/>
      <name val="Arial"/>
      <family val="2"/>
    </font>
    <font>
      <b/>
      <i/>
      <sz val="10"/>
      <name val="Calibri"/>
      <family val="2"/>
    </font>
    <font>
      <sz val="9"/>
      <name val="Calibri"/>
      <family val="2"/>
      <scheme val="minor"/>
    </font>
    <font>
      <b/>
      <i/>
      <sz val="9"/>
      <name val="Calibri"/>
      <family val="2"/>
      <scheme val="minor"/>
    </font>
    <font>
      <i/>
      <sz val="8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5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8"/>
      <name val="Calibri"/>
      <family val="2"/>
      <scheme val="minor"/>
    </font>
    <font>
      <sz val="10"/>
      <name val="Calibri"/>
      <family val="2"/>
    </font>
    <font>
      <b/>
      <sz val="9"/>
      <color theme="8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</font>
    <font>
      <b/>
      <sz val="10"/>
      <color theme="4" tint="-0.249977111117893"/>
      <name val="Calibri"/>
      <family val="2"/>
    </font>
    <font>
      <b/>
      <sz val="10"/>
      <color theme="0"/>
      <name val="Calibri"/>
      <family val="2"/>
      <scheme val="minor"/>
    </font>
    <font>
      <sz val="9"/>
      <name val="Arial"/>
      <family val="2"/>
    </font>
    <font>
      <sz val="4"/>
      <name val="Arial"/>
      <family val="2"/>
    </font>
    <font>
      <i/>
      <sz val="10"/>
      <name val="Calibri"/>
      <family val="2"/>
    </font>
    <font>
      <b/>
      <sz val="9"/>
      <color theme="9"/>
      <name val="Calibri"/>
      <family val="2"/>
      <scheme val="minor"/>
    </font>
    <font>
      <b/>
      <sz val="10"/>
      <color theme="5" tint="-0.249977111117893"/>
      <name val="Calibri"/>
      <family val="2"/>
      <scheme val="minor"/>
    </font>
    <font>
      <sz val="8"/>
      <name val="Arial"/>
      <family val="2"/>
    </font>
    <font>
      <i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76A5AF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B45F0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35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2" fillId="0" borderId="0"/>
    <xf numFmtId="0" fontId="50" fillId="0" borderId="0"/>
  </cellStyleXfs>
  <cellXfs count="425">
    <xf numFmtId="0" fontId="0" fillId="0" borderId="0" xfId="0"/>
    <xf numFmtId="0" fontId="1" fillId="0" borderId="1" xfId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10" fontId="2" fillId="14" borderId="9" xfId="0" applyNumberFormat="1" applyFont="1" applyFill="1" applyBorder="1" applyAlignment="1">
      <alignment horizontal="center" vertical="center" wrapText="1"/>
    </xf>
    <xf numFmtId="0" fontId="2" fillId="17" borderId="9" xfId="0" applyFont="1" applyFill="1" applyBorder="1" applyAlignment="1">
      <alignment horizontal="center" vertical="center" wrapText="1"/>
    </xf>
    <xf numFmtId="165" fontId="2" fillId="0" borderId="3" xfId="0" applyNumberFormat="1" applyFont="1" applyFill="1" applyBorder="1" applyAlignment="1">
      <alignment horizontal="center" vertical="center" wrapText="1"/>
    </xf>
    <xf numFmtId="164" fontId="2" fillId="0" borderId="3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5" borderId="9" xfId="0" applyFont="1" applyFill="1" applyBorder="1" applyAlignment="1">
      <alignment horizontal="center" vertical="center" wrapText="1"/>
    </xf>
    <xf numFmtId="10" fontId="5" fillId="14" borderId="9" xfId="0" applyNumberFormat="1" applyFont="1" applyFill="1" applyBorder="1" applyAlignment="1">
      <alignment horizontal="center" vertical="center" wrapText="1"/>
    </xf>
    <xf numFmtId="0" fontId="5" fillId="17" borderId="9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4" fontId="5" fillId="0" borderId="3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49" fontId="5" fillId="0" borderId="3" xfId="0" applyNumberFormat="1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 wrapText="1"/>
    </xf>
    <xf numFmtId="0" fontId="4" fillId="9" borderId="11" xfId="0" applyFont="1" applyFill="1" applyBorder="1" applyAlignment="1">
      <alignment horizontal="center" vertical="center" wrapText="1"/>
    </xf>
    <xf numFmtId="0" fontId="4" fillId="10" borderId="11" xfId="0" applyFont="1" applyFill="1" applyBorder="1" applyAlignment="1">
      <alignment horizontal="center" vertical="center" wrapText="1"/>
    </xf>
    <xf numFmtId="0" fontId="4" fillId="11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1" fillId="21" borderId="3" xfId="1" applyFill="1" applyBorder="1" applyAlignment="1">
      <alignment horizontal="center" vertical="center" wrapText="1"/>
    </xf>
    <xf numFmtId="0" fontId="3" fillId="21" borderId="1" xfId="1" applyFont="1" applyFill="1" applyBorder="1" applyAlignment="1">
      <alignment horizontal="center" vertical="center" wrapText="1"/>
    </xf>
    <xf numFmtId="0" fontId="1" fillId="21" borderId="1" xfId="1" applyFill="1" applyBorder="1" applyAlignment="1">
      <alignment horizontal="center" vertical="center" wrapText="1"/>
    </xf>
    <xf numFmtId="0" fontId="3" fillId="21" borderId="3" xfId="1" applyFont="1" applyFill="1" applyBorder="1" applyAlignment="1">
      <alignment horizontal="center" vertical="center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11" borderId="1" xfId="0" applyNumberFormat="1" applyFont="1" applyFill="1" applyBorder="1" applyAlignment="1" applyProtection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0" fontId="2" fillId="4" borderId="1" xfId="0" applyNumberFormat="1" applyFont="1" applyFill="1" applyBorder="1" applyAlignment="1" applyProtection="1">
      <alignment horizontal="center" vertical="center" wrapText="1"/>
    </xf>
    <xf numFmtId="0" fontId="2" fillId="6" borderId="1" xfId="0" applyNumberFormat="1" applyFont="1" applyFill="1" applyBorder="1" applyAlignment="1" applyProtection="1">
      <alignment horizontal="center" vertical="center" wrapText="1"/>
    </xf>
    <xf numFmtId="0" fontId="2" fillId="12" borderId="5" xfId="0" applyNumberFormat="1" applyFont="1" applyFill="1" applyBorder="1" applyAlignment="1" applyProtection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19" borderId="1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164" fontId="6" fillId="2" borderId="11" xfId="0" applyNumberFormat="1" applyFont="1" applyFill="1" applyBorder="1" applyAlignment="1">
      <alignment horizontal="center" vertical="center" wrapText="1"/>
    </xf>
    <xf numFmtId="14" fontId="6" fillId="2" borderId="11" xfId="0" applyNumberFormat="1" applyFont="1" applyFill="1" applyBorder="1" applyAlignment="1">
      <alignment horizontal="center" vertical="center" wrapText="1"/>
    </xf>
    <xf numFmtId="0" fontId="6" fillId="16" borderId="4" xfId="0" applyFont="1" applyFill="1" applyBorder="1" applyAlignment="1">
      <alignment horizontal="center" vertical="center" wrapText="1"/>
    </xf>
    <xf numFmtId="0" fontId="6" fillId="15" borderId="4" xfId="0" applyFont="1" applyFill="1" applyBorder="1" applyAlignment="1">
      <alignment horizontal="center" vertical="center" wrapText="1"/>
    </xf>
    <xf numFmtId="10" fontId="6" fillId="14" borderId="4" xfId="0" applyNumberFormat="1" applyFont="1" applyFill="1" applyBorder="1" applyAlignment="1">
      <alignment horizontal="center" vertical="center" wrapText="1"/>
    </xf>
    <xf numFmtId="0" fontId="6" fillId="17" borderId="4" xfId="0" applyFont="1" applyFill="1" applyBorder="1" applyAlignment="1">
      <alignment horizontal="center" vertical="center" wrapText="1"/>
    </xf>
    <xf numFmtId="0" fontId="6" fillId="13" borderId="13" xfId="0" applyFont="1" applyFill="1" applyBorder="1" applyAlignment="1">
      <alignment horizontal="center" vertical="center" wrapText="1"/>
    </xf>
    <xf numFmtId="0" fontId="6" fillId="13" borderId="14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0" borderId="11" xfId="0" applyFont="1" applyFill="1" applyBorder="1" applyAlignment="1">
      <alignment horizontal="center" vertical="center" wrapText="1"/>
    </xf>
    <xf numFmtId="49" fontId="6" fillId="2" borderId="11" xfId="0" applyNumberFormat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6" fillId="0" borderId="3" xfId="0" applyNumberFormat="1" applyFont="1" applyFill="1" applyBorder="1" applyAlignment="1">
      <alignment horizontal="center" vertical="center" wrapText="1"/>
    </xf>
    <xf numFmtId="14" fontId="2" fillId="0" borderId="3" xfId="0" applyNumberFormat="1" applyFont="1" applyFill="1" applyBorder="1" applyAlignment="1">
      <alignment horizontal="center" vertical="center" wrapText="1"/>
    </xf>
    <xf numFmtId="0" fontId="2" fillId="16" borderId="9" xfId="0" applyFont="1" applyFill="1" applyBorder="1" applyAlignment="1">
      <alignment horizontal="center" vertical="center" wrapText="1"/>
    </xf>
    <xf numFmtId="0" fontId="2" fillId="15" borderId="9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2" fillId="0" borderId="7" xfId="0" applyNumberFormat="1" applyFont="1" applyFill="1" applyBorder="1" applyAlignment="1">
      <alignment horizontal="center" vertical="center" wrapText="1"/>
    </xf>
    <xf numFmtId="164" fontId="3" fillId="0" borderId="1" xfId="1" applyNumberFormat="1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164" fontId="2" fillId="0" borderId="1" xfId="0" applyNumberFormat="1" applyFont="1" applyFill="1" applyBorder="1" applyAlignment="1" applyProtection="1">
      <alignment horizontal="center" vertical="center" wrapText="1"/>
    </xf>
    <xf numFmtId="14" fontId="2" fillId="0" borderId="1" xfId="0" applyNumberFormat="1" applyFont="1" applyFill="1" applyBorder="1" applyAlignment="1" applyProtection="1">
      <alignment horizontal="center" vertical="center" wrapText="1"/>
    </xf>
    <xf numFmtId="0" fontId="2" fillId="5" borderId="1" xfId="0" applyNumberFormat="1" applyFont="1" applyFill="1" applyBorder="1" applyAlignment="1" applyProtection="1">
      <alignment horizontal="center" vertical="center" wrapText="1"/>
    </xf>
    <xf numFmtId="0" fontId="2" fillId="7" borderId="1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49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5" fillId="0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16" borderId="6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10" fontId="2" fillId="14" borderId="6" xfId="0" applyNumberFormat="1" applyFont="1" applyFill="1" applyBorder="1" applyAlignment="1">
      <alignment horizontal="center" vertical="center"/>
    </xf>
    <xf numFmtId="0" fontId="2" fillId="17" borderId="6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1" fontId="8" fillId="0" borderId="0" xfId="0" applyNumberFormat="1" applyFont="1" applyAlignment="1">
      <alignment horizontal="left" vertical="center"/>
    </xf>
    <xf numFmtId="0" fontId="2" fillId="0" borderId="18" xfId="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horizontal="right" vertical="center"/>
    </xf>
    <xf numFmtId="1" fontId="8" fillId="0" borderId="17" xfId="0" applyNumberFormat="1" applyFont="1" applyBorder="1" applyAlignment="1">
      <alignment horizontal="left" vertical="center"/>
    </xf>
    <xf numFmtId="0" fontId="2" fillId="0" borderId="19" xfId="0" applyFont="1" applyFill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horizontal="right" vertical="center"/>
    </xf>
    <xf numFmtId="1" fontId="8" fillId="0" borderId="20" xfId="0" applyNumberFormat="1" applyFont="1" applyBorder="1" applyAlignment="1">
      <alignment horizontal="left" vertical="center"/>
    </xf>
    <xf numFmtId="0" fontId="5" fillId="0" borderId="19" xfId="0" applyFont="1" applyFill="1" applyBorder="1" applyAlignment="1">
      <alignment horizontal="center" vertical="center" wrapText="1"/>
    </xf>
    <xf numFmtId="0" fontId="2" fillId="0" borderId="19" xfId="0" applyNumberFormat="1" applyFont="1" applyFill="1" applyBorder="1" applyAlignment="1" applyProtection="1">
      <alignment horizontal="center" vertical="center" wrapText="1"/>
    </xf>
    <xf numFmtId="0" fontId="8" fillId="0" borderId="19" xfId="0" applyFont="1" applyBorder="1" applyAlignment="1" applyProtection="1">
      <alignment horizontal="right" vertical="center"/>
    </xf>
    <xf numFmtId="1" fontId="8" fillId="0" borderId="20" xfId="0" applyNumberFormat="1" applyFont="1" applyBorder="1" applyAlignment="1" applyProtection="1">
      <alignment horizontal="left" vertical="center"/>
    </xf>
    <xf numFmtId="0" fontId="6" fillId="2" borderId="2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10" fontId="6" fillId="13" borderId="9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6" fillId="22" borderId="3" xfId="0" applyNumberFormat="1" applyFont="1" applyFill="1" applyBorder="1" applyAlignment="1">
      <alignment horizontal="center" vertical="center" wrapText="1"/>
    </xf>
    <xf numFmtId="0" fontId="1" fillId="21" borderId="1" xfId="1" applyNumberFormat="1" applyFill="1" applyBorder="1" applyAlignment="1" applyProtection="1">
      <alignment horizontal="center" vertical="center" wrapText="1"/>
    </xf>
    <xf numFmtId="14" fontId="6" fillId="0" borderId="0" xfId="0" applyNumberFormat="1" applyFont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12" borderId="5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4" fillId="12" borderId="5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4" fillId="12" borderId="5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5" fillId="12" borderId="5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17" fillId="22" borderId="3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0" fontId="15" fillId="10" borderId="3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 wrapText="1"/>
    </xf>
    <xf numFmtId="0" fontId="4" fillId="12" borderId="8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6" fillId="18" borderId="3" xfId="0" applyNumberFormat="1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164" fontId="2" fillId="18" borderId="1" xfId="0" applyNumberFormat="1" applyFont="1" applyFill="1" applyBorder="1" applyAlignment="1">
      <alignment horizontal="center" vertical="center" wrapText="1"/>
    </xf>
    <xf numFmtId="0" fontId="2" fillId="18" borderId="3" xfId="0" applyFont="1" applyFill="1" applyBorder="1" applyAlignment="1">
      <alignment horizontal="center" vertical="center" wrapText="1"/>
    </xf>
    <xf numFmtId="14" fontId="2" fillId="18" borderId="1" xfId="0" applyNumberFormat="1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5" fillId="18" borderId="5" xfId="0" applyFont="1" applyFill="1" applyBorder="1" applyAlignment="1">
      <alignment horizontal="center" vertical="center" wrapText="1"/>
    </xf>
    <xf numFmtId="0" fontId="2" fillId="18" borderId="9" xfId="0" applyFont="1" applyFill="1" applyBorder="1" applyAlignment="1">
      <alignment horizontal="center" vertical="center" wrapText="1"/>
    </xf>
    <xf numFmtId="10" fontId="2" fillId="18" borderId="9" xfId="0" applyNumberFormat="1" applyFont="1" applyFill="1" applyBorder="1" applyAlignment="1">
      <alignment horizontal="center" vertical="center" wrapText="1"/>
    </xf>
    <xf numFmtId="0" fontId="2" fillId="18" borderId="2" xfId="0" applyFont="1" applyFill="1" applyBorder="1" applyAlignment="1">
      <alignment horizontal="center" vertical="center" wrapText="1"/>
    </xf>
    <xf numFmtId="0" fontId="1" fillId="18" borderId="1" xfId="1" applyFill="1" applyBorder="1" applyAlignment="1">
      <alignment horizontal="center" vertical="center" wrapText="1"/>
    </xf>
    <xf numFmtId="49" fontId="2" fillId="18" borderId="3" xfId="0" applyNumberFormat="1" applyFont="1" applyFill="1" applyBorder="1" applyAlignment="1">
      <alignment horizontal="center" vertical="center" wrapText="1"/>
    </xf>
    <xf numFmtId="0" fontId="2" fillId="18" borderId="19" xfId="0" applyFont="1" applyFill="1" applyBorder="1" applyAlignment="1">
      <alignment horizontal="center" vertical="center" wrapText="1"/>
    </xf>
    <xf numFmtId="0" fontId="8" fillId="18" borderId="19" xfId="0" applyFont="1" applyFill="1" applyBorder="1" applyAlignment="1">
      <alignment horizontal="center" vertical="center"/>
    </xf>
    <xf numFmtId="0" fontId="8" fillId="18" borderId="18" xfId="0" applyFont="1" applyFill="1" applyBorder="1" applyAlignment="1">
      <alignment horizontal="center" vertical="center"/>
    </xf>
    <xf numFmtId="0" fontId="8" fillId="18" borderId="19" xfId="0" applyFont="1" applyFill="1" applyBorder="1" applyAlignment="1">
      <alignment horizontal="right" vertical="center"/>
    </xf>
    <xf numFmtId="1" fontId="8" fillId="18" borderId="20" xfId="0" applyNumberFormat="1" applyFont="1" applyFill="1" applyBorder="1" applyAlignment="1">
      <alignment horizontal="left" vertical="center"/>
    </xf>
    <xf numFmtId="0" fontId="6" fillId="2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19" fillId="12" borderId="5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4" fillId="22" borderId="3" xfId="0" applyNumberFormat="1" applyFont="1" applyFill="1" applyBorder="1" applyAlignment="1">
      <alignment horizontal="center" vertical="center" wrapText="1"/>
    </xf>
    <xf numFmtId="0" fontId="6" fillId="22" borderId="1" xfId="0" applyNumberFormat="1" applyFont="1" applyFill="1" applyBorder="1" applyAlignment="1" applyProtection="1">
      <alignment horizontal="center" vertical="center" wrapText="1"/>
    </xf>
    <xf numFmtId="0" fontId="6" fillId="9" borderId="1" xfId="0" applyNumberFormat="1" applyFont="1" applyFill="1" applyBorder="1" applyAlignment="1" applyProtection="1">
      <alignment horizontal="center" vertical="center" wrapText="1"/>
    </xf>
    <xf numFmtId="0" fontId="6" fillId="10" borderId="1" xfId="0" applyNumberFormat="1" applyFont="1" applyFill="1" applyBorder="1" applyAlignment="1" applyProtection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1" fillId="12" borderId="5" xfId="0" applyFont="1" applyFill="1" applyBorder="1" applyAlignment="1">
      <alignment horizontal="center" vertical="center" wrapText="1"/>
    </xf>
    <xf numFmtId="0" fontId="0" fillId="0" borderId="22" xfId="0" applyBorder="1"/>
    <xf numFmtId="1" fontId="6" fillId="2" borderId="11" xfId="0" applyNumberFormat="1" applyFont="1" applyFill="1" applyBorder="1" applyAlignment="1">
      <alignment horizontal="center" vertical="center" wrapText="1"/>
    </xf>
    <xf numFmtId="1" fontId="2" fillId="0" borderId="3" xfId="0" applyNumberFormat="1" applyFont="1" applyFill="1" applyBorder="1" applyAlignment="1">
      <alignment horizontal="center" vertical="center" wrapText="1"/>
    </xf>
    <xf numFmtId="1" fontId="5" fillId="0" borderId="3" xfId="0" applyNumberFormat="1" applyFont="1" applyFill="1" applyBorder="1" applyAlignment="1">
      <alignment horizontal="center" vertical="center" wrapText="1"/>
    </xf>
    <xf numFmtId="1" fontId="2" fillId="18" borderId="3" xfId="0" applyNumberFormat="1" applyFont="1" applyFill="1" applyBorder="1" applyAlignment="1">
      <alignment horizontal="center" vertical="center" wrapText="1"/>
    </xf>
    <xf numFmtId="1" fontId="2" fillId="0" borderId="3" xfId="0" applyNumberFormat="1" applyFont="1" applyFill="1" applyBorder="1" applyAlignment="1" applyProtection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0" fontId="0" fillId="18" borderId="22" xfId="0" applyFill="1" applyBorder="1"/>
    <xf numFmtId="0" fontId="0" fillId="18" borderId="0" xfId="0" applyFill="1"/>
    <xf numFmtId="0" fontId="0" fillId="0" borderId="23" xfId="0" applyFill="1" applyBorder="1"/>
    <xf numFmtId="49" fontId="0" fillId="0" borderId="0" xfId="0" applyNumberFormat="1"/>
    <xf numFmtId="49" fontId="2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2" fillId="18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vertical="center"/>
    </xf>
    <xf numFmtId="49" fontId="0" fillId="0" borderId="22" xfId="0" applyNumberFormat="1" applyBorder="1"/>
    <xf numFmtId="0" fontId="25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5" fillId="18" borderId="24" xfId="0" applyFont="1" applyFill="1" applyBorder="1" applyAlignment="1">
      <alignment horizontal="center" vertical="center" wrapText="1"/>
    </xf>
    <xf numFmtId="0" fontId="25" fillId="18" borderId="25" xfId="0" applyFont="1" applyFill="1" applyBorder="1" applyAlignment="1">
      <alignment horizontal="center" vertical="center" wrapText="1"/>
    </xf>
    <xf numFmtId="0" fontId="24" fillId="23" borderId="22" xfId="0" applyFont="1" applyFill="1" applyBorder="1" applyAlignment="1">
      <alignment horizontal="center" vertical="center"/>
    </xf>
    <xf numFmtId="0" fontId="24" fillId="22" borderId="0" xfId="0" applyFont="1" applyFill="1" applyAlignment="1">
      <alignment horizontal="center" vertical="center"/>
    </xf>
    <xf numFmtId="0" fontId="23" fillId="2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5" fillId="14" borderId="22" xfId="0" applyFont="1" applyFill="1" applyBorder="1" applyAlignment="1">
      <alignment horizontal="center" vertical="center" wrapText="1"/>
    </xf>
    <xf numFmtId="0" fontId="0" fillId="26" borderId="22" xfId="0" applyFill="1" applyBorder="1" applyAlignment="1">
      <alignment horizontal="center" vertical="center"/>
    </xf>
    <xf numFmtId="0" fontId="0" fillId="26" borderId="22" xfId="0" applyFill="1" applyBorder="1" applyAlignment="1">
      <alignment horizontal="center" vertical="center" wrapText="1"/>
    </xf>
    <xf numFmtId="0" fontId="0" fillId="26" borderId="0" xfId="0" applyFill="1" applyAlignment="1">
      <alignment horizontal="center" vertical="center"/>
    </xf>
    <xf numFmtId="0" fontId="0" fillId="26" borderId="23" xfId="0" applyFill="1" applyBorder="1" applyAlignment="1">
      <alignment horizontal="center" vertical="center"/>
    </xf>
    <xf numFmtId="0" fontId="0" fillId="26" borderId="26" xfId="0" applyFill="1" applyBorder="1" applyAlignment="1">
      <alignment horizontal="center" vertical="center"/>
    </xf>
    <xf numFmtId="0" fontId="0" fillId="26" borderId="0" xfId="0" applyFill="1" applyAlignment="1">
      <alignment horizontal="center" vertical="center" wrapText="1"/>
    </xf>
    <xf numFmtId="0" fontId="0" fillId="23" borderId="22" xfId="0" applyFill="1" applyBorder="1" applyAlignment="1">
      <alignment horizontal="center" vertical="center"/>
    </xf>
    <xf numFmtId="0" fontId="0" fillId="23" borderId="22" xfId="0" applyFill="1" applyBorder="1" applyAlignment="1">
      <alignment horizontal="center" vertical="center" wrapText="1"/>
    </xf>
    <xf numFmtId="0" fontId="0" fillId="23" borderId="23" xfId="0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14" fontId="0" fillId="26" borderId="22" xfId="0" applyNumberFormat="1" applyFill="1" applyBorder="1" applyAlignment="1">
      <alignment horizontal="center" vertical="center" wrapText="1"/>
    </xf>
    <xf numFmtId="14" fontId="0" fillId="23" borderId="22" xfId="0" applyNumberFormat="1" applyFill="1" applyBorder="1" applyAlignment="1">
      <alignment horizontal="center" vertical="center" wrapText="1"/>
    </xf>
    <xf numFmtId="49" fontId="24" fillId="23" borderId="22" xfId="0" applyNumberFormat="1" applyFont="1" applyFill="1" applyBorder="1" applyAlignment="1">
      <alignment horizontal="center" vertical="center"/>
    </xf>
    <xf numFmtId="49" fontId="25" fillId="14" borderId="22" xfId="0" applyNumberFormat="1" applyFont="1" applyFill="1" applyBorder="1" applyAlignment="1">
      <alignment horizontal="center" vertical="center" wrapText="1"/>
    </xf>
    <xf numFmtId="49" fontId="0" fillId="26" borderId="22" xfId="0" applyNumberFormat="1" applyFill="1" applyBorder="1" applyAlignment="1">
      <alignment horizontal="center" vertical="center" wrapText="1"/>
    </xf>
    <xf numFmtId="49" fontId="0" fillId="23" borderId="22" xfId="0" applyNumberFormat="1" applyFill="1" applyBorder="1" applyAlignment="1">
      <alignment horizontal="center" vertical="center" wrapText="1"/>
    </xf>
    <xf numFmtId="49" fontId="24" fillId="24" borderId="22" xfId="0" applyNumberFormat="1" applyFont="1" applyFill="1" applyBorder="1" applyAlignment="1">
      <alignment horizontal="center" vertical="center" wrapText="1"/>
    </xf>
    <xf numFmtId="49" fontId="0" fillId="18" borderId="22" xfId="0" applyNumberFormat="1" applyFill="1" applyBorder="1"/>
    <xf numFmtId="0" fontId="26" fillId="0" borderId="27" xfId="0" applyFont="1" applyBorder="1" applyAlignment="1">
      <alignment horizontal="center" vertical="center" wrapText="1"/>
    </xf>
    <xf numFmtId="0" fontId="25" fillId="18" borderId="22" xfId="0" applyFont="1" applyFill="1" applyBorder="1" applyAlignment="1">
      <alignment horizontal="center" vertical="center"/>
    </xf>
    <xf numFmtId="0" fontId="24" fillId="23" borderId="22" xfId="0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25" fillId="18" borderId="22" xfId="0" applyFont="1" applyFill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27" fillId="27" borderId="22" xfId="0" applyFont="1" applyFill="1" applyBorder="1" applyAlignment="1">
      <alignment vertical="center"/>
    </xf>
    <xf numFmtId="0" fontId="28" fillId="27" borderId="25" xfId="0" applyFont="1" applyFill="1" applyBorder="1" applyAlignment="1">
      <alignment vertical="center"/>
    </xf>
    <xf numFmtId="0" fontId="29" fillId="27" borderId="22" xfId="0" applyFont="1" applyFill="1" applyBorder="1" applyAlignment="1">
      <alignment horizontal="left" vertical="center" wrapText="1"/>
    </xf>
    <xf numFmtId="0" fontId="30" fillId="27" borderId="22" xfId="0" applyFont="1" applyFill="1" applyBorder="1" applyAlignment="1">
      <alignment horizontal="center" vertical="center"/>
    </xf>
    <xf numFmtId="0" fontId="30" fillId="27" borderId="28" xfId="0" applyFont="1" applyFill="1" applyBorder="1"/>
    <xf numFmtId="0" fontId="30" fillId="27" borderId="28" xfId="0" applyFont="1" applyFill="1" applyBorder="1" applyAlignment="1">
      <alignment horizontal="center"/>
    </xf>
    <xf numFmtId="164" fontId="30" fillId="27" borderId="28" xfId="0" applyNumberFormat="1" applyFont="1" applyFill="1" applyBorder="1"/>
    <xf numFmtId="14" fontId="32" fillId="27" borderId="22" xfId="2" applyNumberFormat="1" applyFont="1" applyFill="1" applyBorder="1" applyAlignment="1">
      <alignment horizontal="center"/>
    </xf>
    <xf numFmtId="169" fontId="30" fillId="27" borderId="22" xfId="0" applyNumberFormat="1" applyFont="1" applyFill="1" applyBorder="1" applyAlignment="1">
      <alignment vertical="center" wrapText="1"/>
    </xf>
    <xf numFmtId="0" fontId="4" fillId="27" borderId="22" xfId="0" applyFont="1" applyFill="1" applyBorder="1"/>
    <xf numFmtId="164" fontId="33" fillId="27" borderId="22" xfId="0" applyNumberFormat="1" applyFont="1" applyFill="1" applyBorder="1" applyAlignment="1">
      <alignment horizontal="right" wrapText="1"/>
    </xf>
    <xf numFmtId="0" fontId="34" fillId="27" borderId="22" xfId="1" applyFont="1" applyFill="1" applyBorder="1" applyAlignment="1" applyProtection="1">
      <alignment wrapText="1"/>
    </xf>
    <xf numFmtId="0" fontId="35" fillId="27" borderId="29" xfId="0" applyFont="1" applyFill="1" applyBorder="1" applyAlignment="1">
      <alignment vertical="center" wrapText="1"/>
    </xf>
    <xf numFmtId="0" fontId="29" fillId="27" borderId="24" xfId="0" applyFont="1" applyFill="1" applyBorder="1" applyAlignment="1">
      <alignment vertical="center" wrapText="1"/>
    </xf>
    <xf numFmtId="0" fontId="29" fillId="28" borderId="22" xfId="0" applyFont="1" applyFill="1" applyBorder="1" applyAlignment="1">
      <alignment horizontal="center"/>
    </xf>
    <xf numFmtId="2" fontId="36" fillId="29" borderId="22" xfId="0" applyNumberFormat="1" applyFont="1" applyFill="1" applyBorder="1" applyAlignment="1">
      <alignment horizontal="center"/>
    </xf>
    <xf numFmtId="2" fontId="29" fillId="30" borderId="0" xfId="0" applyNumberFormat="1" applyFont="1" applyFill="1"/>
    <xf numFmtId="0" fontId="37" fillId="0" borderId="0" xfId="0" applyFont="1" applyAlignment="1">
      <alignment vertical="center"/>
    </xf>
    <xf numFmtId="0" fontId="38" fillId="18" borderId="22" xfId="0" applyFont="1" applyFill="1" applyBorder="1" applyAlignment="1">
      <alignment vertical="center" wrapText="1"/>
    </xf>
    <xf numFmtId="0" fontId="29" fillId="0" borderId="22" xfId="0" applyFont="1" applyBorder="1" applyAlignment="1">
      <alignment vertical="center" wrapText="1"/>
    </xf>
    <xf numFmtId="0" fontId="29" fillId="0" borderId="22" xfId="0" applyFont="1" applyBorder="1" applyAlignment="1">
      <alignment horizontal="left" vertical="center" wrapText="1"/>
    </xf>
    <xf numFmtId="49" fontId="39" fillId="0" borderId="22" xfId="0" applyNumberFormat="1" applyFont="1" applyBorder="1" applyAlignment="1">
      <alignment horizontal="center" vertical="center" wrapText="1"/>
    </xf>
    <xf numFmtId="0" fontId="39" fillId="0" borderId="22" xfId="0" applyFont="1" applyBorder="1" applyAlignment="1">
      <alignment horizontal="center" vertical="center" wrapText="1"/>
    </xf>
    <xf numFmtId="0" fontId="39" fillId="0" borderId="22" xfId="0" applyFont="1" applyBorder="1" applyAlignment="1">
      <alignment vertical="center" wrapText="1"/>
    </xf>
    <xf numFmtId="49" fontId="29" fillId="0" borderId="22" xfId="0" applyNumberFormat="1" applyFont="1" applyBorder="1" applyAlignment="1">
      <alignment vertical="center" wrapText="1"/>
    </xf>
    <xf numFmtId="49" fontId="39" fillId="0" borderId="22" xfId="0" applyNumberFormat="1" applyFont="1" applyBorder="1" applyAlignment="1">
      <alignment vertical="center" wrapText="1"/>
    </xf>
    <xf numFmtId="169" fontId="40" fillId="0" borderId="22" xfId="0" applyNumberFormat="1" applyFont="1" applyBorder="1" applyAlignment="1">
      <alignment vertical="center" wrapText="1"/>
    </xf>
    <xf numFmtId="170" fontId="39" fillId="0" borderId="22" xfId="0" applyNumberFormat="1" applyFont="1" applyBorder="1" applyAlignment="1">
      <alignment vertical="center" wrapText="1"/>
    </xf>
    <xf numFmtId="0" fontId="29" fillId="31" borderId="25" xfId="0" applyFont="1" applyFill="1" applyBorder="1" applyAlignment="1">
      <alignment vertical="center" wrapText="1"/>
    </xf>
    <xf numFmtId="0" fontId="29" fillId="31" borderId="22" xfId="0" applyFont="1" applyFill="1" applyBorder="1" applyAlignment="1">
      <alignment vertical="center" wrapText="1"/>
    </xf>
    <xf numFmtId="49" fontId="29" fillId="18" borderId="25" xfId="0" applyNumberFormat="1" applyFont="1" applyFill="1" applyBorder="1" applyAlignment="1">
      <alignment horizontal="center" vertical="center" wrapText="1"/>
    </xf>
    <xf numFmtId="0" fontId="29" fillId="32" borderId="22" xfId="0" applyFont="1" applyFill="1" applyBorder="1" applyAlignment="1">
      <alignment vertical="center" wrapText="1"/>
    </xf>
    <xf numFmtId="49" fontId="29" fillId="33" borderId="25" xfId="0" applyNumberFormat="1" applyFont="1" applyFill="1" applyBorder="1" applyAlignment="1">
      <alignment horizontal="center" vertical="center" wrapText="1"/>
    </xf>
    <xf numFmtId="0" fontId="29" fillId="34" borderId="22" xfId="0" applyFont="1" applyFill="1" applyBorder="1" applyAlignment="1">
      <alignment vertical="center" wrapText="1"/>
    </xf>
    <xf numFmtId="49" fontId="29" fillId="35" borderId="25" xfId="0" applyNumberFormat="1" applyFont="1" applyFill="1" applyBorder="1" applyAlignment="1">
      <alignment horizontal="center" vertical="center" wrapText="1"/>
    </xf>
    <xf numFmtId="0" fontId="29" fillId="36" borderId="22" xfId="0" applyFont="1" applyFill="1" applyBorder="1" applyAlignment="1">
      <alignment vertical="center" wrapText="1"/>
    </xf>
    <xf numFmtId="49" fontId="29" fillId="37" borderId="22" xfId="0" applyNumberFormat="1" applyFont="1" applyFill="1" applyBorder="1" applyAlignment="1">
      <alignment vertical="center" wrapText="1"/>
    </xf>
    <xf numFmtId="49" fontId="29" fillId="37" borderId="24" xfId="0" applyNumberFormat="1" applyFont="1" applyFill="1" applyBorder="1" applyAlignment="1">
      <alignment vertical="center" wrapText="1"/>
    </xf>
    <xf numFmtId="0" fontId="29" fillId="38" borderId="30" xfId="0" applyFont="1" applyFill="1" applyBorder="1" applyAlignment="1">
      <alignment vertical="center" wrapText="1"/>
    </xf>
    <xf numFmtId="0" fontId="29" fillId="28" borderId="31" xfId="0" applyFont="1" applyFill="1" applyBorder="1" applyAlignment="1">
      <alignment vertical="center" wrapText="1"/>
    </xf>
    <xf numFmtId="0" fontId="29" fillId="28" borderId="25" xfId="0" applyFont="1" applyFill="1" applyBorder="1" applyAlignment="1">
      <alignment vertical="center" wrapText="1"/>
    </xf>
    <xf numFmtId="0" fontId="29" fillId="39" borderId="22" xfId="0" applyFont="1" applyFill="1" applyBorder="1" applyAlignment="1">
      <alignment horizontal="center" vertical="center" wrapText="1"/>
    </xf>
    <xf numFmtId="49" fontId="29" fillId="24" borderId="22" xfId="0" applyNumberFormat="1" applyFont="1" applyFill="1" applyBorder="1" applyAlignment="1">
      <alignment vertical="center" wrapText="1"/>
    </xf>
    <xf numFmtId="0" fontId="41" fillId="24" borderId="22" xfId="0" applyFont="1" applyFill="1" applyBorder="1" applyAlignment="1">
      <alignment vertical="center" wrapText="1"/>
    </xf>
    <xf numFmtId="0" fontId="42" fillId="40" borderId="22" xfId="0" applyFont="1" applyFill="1" applyBorder="1" applyAlignment="1">
      <alignment horizontal="center" vertical="center" wrapText="1"/>
    </xf>
    <xf numFmtId="0" fontId="42" fillId="40" borderId="30" xfId="0" applyFont="1" applyFill="1" applyBorder="1" applyAlignment="1">
      <alignment horizontal="center" vertical="center" wrapText="1"/>
    </xf>
    <xf numFmtId="2" fontId="29" fillId="0" borderId="25" xfId="0" applyNumberFormat="1" applyFont="1" applyBorder="1" applyAlignment="1">
      <alignment horizontal="right" vertical="center" wrapText="1"/>
    </xf>
    <xf numFmtId="2" fontId="29" fillId="0" borderId="32" xfId="0" applyNumberFormat="1" applyFont="1" applyBorder="1" applyAlignment="1">
      <alignment horizontal="right" vertical="center" wrapText="1"/>
    </xf>
    <xf numFmtId="0" fontId="28" fillId="0" borderId="0" xfId="0" applyFont="1" applyAlignment="1">
      <alignment vertical="center" wrapText="1"/>
    </xf>
    <xf numFmtId="0" fontId="5" fillId="26" borderId="22" xfId="0" applyFont="1" applyFill="1" applyBorder="1"/>
    <xf numFmtId="0" fontId="43" fillId="0" borderId="25" xfId="0" applyFont="1" applyBorder="1" applyAlignment="1">
      <alignment vertical="center"/>
    </xf>
    <xf numFmtId="0" fontId="38" fillId="0" borderId="22" xfId="0" applyFont="1" applyBorder="1" applyAlignment="1">
      <alignment vertical="center" wrapText="1"/>
    </xf>
    <xf numFmtId="0" fontId="44" fillId="26" borderId="22" xfId="0" applyFont="1" applyFill="1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45" fillId="0" borderId="22" xfId="0" applyFont="1" applyBorder="1" applyAlignment="1">
      <alignment horizontal="left"/>
    </xf>
    <xf numFmtId="171" fontId="4" fillId="0" borderId="22" xfId="0" applyNumberFormat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6" fillId="0" borderId="22" xfId="0" applyFont="1" applyBorder="1" applyAlignment="1">
      <alignment horizontal="left"/>
    </xf>
    <xf numFmtId="169" fontId="47" fillId="0" borderId="22" xfId="0" applyNumberFormat="1" applyFont="1" applyBorder="1" applyAlignment="1">
      <alignment horizontal="right" vertical="center"/>
    </xf>
    <xf numFmtId="169" fontId="47" fillId="0" borderId="22" xfId="0" applyNumberFormat="1" applyFont="1" applyBorder="1" applyAlignment="1">
      <alignment horizontal="right"/>
    </xf>
    <xf numFmtId="169" fontId="48" fillId="0" borderId="22" xfId="0" applyNumberFormat="1" applyFont="1" applyBorder="1" applyAlignment="1">
      <alignment vertical="center" wrapText="1"/>
    </xf>
    <xf numFmtId="0" fontId="4" fillId="0" borderId="22" xfId="0" applyFont="1" applyBorder="1"/>
    <xf numFmtId="164" fontId="38" fillId="0" borderId="22" xfId="0" applyNumberFormat="1" applyFont="1" applyBorder="1" applyAlignment="1">
      <alignment horizontal="right" wrapText="1"/>
    </xf>
    <xf numFmtId="0" fontId="38" fillId="0" borderId="22" xfId="0" applyFont="1" applyBorder="1" applyAlignment="1">
      <alignment wrapText="1"/>
    </xf>
    <xf numFmtId="0" fontId="38" fillId="41" borderId="22" xfId="0" applyFont="1" applyFill="1" applyBorder="1"/>
    <xf numFmtId="0" fontId="38" fillId="41" borderId="24" xfId="0" applyFont="1" applyFill="1" applyBorder="1" applyAlignment="1">
      <alignment horizontal="center"/>
    </xf>
    <xf numFmtId="0" fontId="38" fillId="0" borderId="22" xfId="0" applyFont="1" applyBorder="1"/>
    <xf numFmtId="0" fontId="38" fillId="0" borderId="22" xfId="0" applyFont="1" applyBorder="1" applyAlignment="1">
      <alignment horizontal="center"/>
    </xf>
    <xf numFmtId="0" fontId="38" fillId="28" borderId="25" xfId="0" applyFont="1" applyFill="1" applyBorder="1" applyAlignment="1">
      <alignment horizontal="center"/>
    </xf>
    <xf numFmtId="0" fontId="49" fillId="0" borderId="22" xfId="0" applyFont="1" applyBorder="1" applyAlignment="1">
      <alignment horizontal="center"/>
    </xf>
    <xf numFmtId="0" fontId="51" fillId="24" borderId="22" xfId="3" applyFont="1" applyFill="1" applyBorder="1" applyAlignment="1">
      <alignment horizontal="center" vertical="center" wrapText="1"/>
    </xf>
    <xf numFmtId="0" fontId="52" fillId="41" borderId="22" xfId="3" applyFont="1" applyFill="1" applyBorder="1" applyAlignment="1">
      <alignment horizontal="center" vertical="center" wrapText="1"/>
    </xf>
    <xf numFmtId="0" fontId="53" fillId="40" borderId="22" xfId="0" applyFont="1" applyFill="1" applyBorder="1" applyAlignment="1">
      <alignment horizontal="center"/>
    </xf>
    <xf numFmtId="2" fontId="54" fillId="29" borderId="22" xfId="0" applyNumberFormat="1" applyFont="1" applyFill="1" applyBorder="1" applyAlignment="1">
      <alignment horizontal="center"/>
    </xf>
    <xf numFmtId="2" fontId="55" fillId="41" borderId="22" xfId="0" applyNumberFormat="1" applyFont="1" applyFill="1" applyBorder="1" applyAlignment="1">
      <alignment horizontal="center"/>
    </xf>
    <xf numFmtId="2" fontId="38" fillId="30" borderId="0" xfId="0" applyNumberFormat="1" applyFont="1" applyFill="1"/>
    <xf numFmtId="0" fontId="56" fillId="0" borderId="0" xfId="0" applyFont="1" applyAlignment="1">
      <alignment vertical="center"/>
    </xf>
    <xf numFmtId="0" fontId="45" fillId="26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left"/>
    </xf>
    <xf numFmtId="0" fontId="28" fillId="0" borderId="22" xfId="3" applyFont="1" applyBorder="1" applyAlignment="1">
      <alignment horizontal="center" vertical="center" wrapText="1"/>
    </xf>
    <xf numFmtId="0" fontId="57" fillId="0" borderId="25" xfId="0" applyFont="1" applyBorder="1" applyAlignment="1">
      <alignment vertical="center"/>
    </xf>
    <xf numFmtId="0" fontId="5" fillId="0" borderId="22" xfId="0" applyFont="1" applyBorder="1" applyAlignment="1">
      <alignment horizontal="center" vertical="center"/>
    </xf>
    <xf numFmtId="169" fontId="46" fillId="0" borderId="22" xfId="0" applyNumberFormat="1" applyFont="1" applyBorder="1" applyAlignment="1">
      <alignment horizontal="right" vertical="center"/>
    </xf>
    <xf numFmtId="169" fontId="46" fillId="0" borderId="22" xfId="0" applyNumberFormat="1" applyFont="1" applyBorder="1" applyAlignment="1">
      <alignment horizontal="right"/>
    </xf>
    <xf numFmtId="0" fontId="5" fillId="0" borderId="26" xfId="0" applyFont="1" applyBorder="1" applyAlignment="1">
      <alignment horizontal="left"/>
    </xf>
    <xf numFmtId="0" fontId="4" fillId="0" borderId="22" xfId="0" applyFont="1" applyBorder="1" applyAlignment="1">
      <alignment horizontal="center" vertical="center"/>
    </xf>
    <xf numFmtId="0" fontId="28" fillId="0" borderId="22" xfId="0" applyFont="1" applyBorder="1"/>
    <xf numFmtId="169" fontId="58" fillId="0" borderId="22" xfId="0" applyNumberFormat="1" applyFont="1" applyBorder="1" applyAlignment="1">
      <alignment horizontal="right"/>
    </xf>
    <xf numFmtId="0" fontId="5" fillId="0" borderId="25" xfId="0" applyFont="1" applyBorder="1" applyAlignment="1">
      <alignment horizontal="left"/>
    </xf>
    <xf numFmtId="0" fontId="4" fillId="0" borderId="25" xfId="0" applyFont="1" applyBorder="1" applyAlignment="1">
      <alignment vertical="center"/>
    </xf>
    <xf numFmtId="171" fontId="4" fillId="0" borderId="25" xfId="0" applyNumberFormat="1" applyFont="1" applyBorder="1" applyAlignment="1">
      <alignment horizontal="left" vertical="center"/>
    </xf>
    <xf numFmtId="0" fontId="4" fillId="18" borderId="22" xfId="0" applyFont="1" applyFill="1" applyBorder="1" applyAlignment="1">
      <alignment horizontal="left" vertical="center"/>
    </xf>
    <xf numFmtId="2" fontId="59" fillId="29" borderId="22" xfId="0" applyNumberFormat="1" applyFont="1" applyFill="1" applyBorder="1" applyAlignment="1">
      <alignment horizontal="center"/>
    </xf>
    <xf numFmtId="0" fontId="5" fillId="0" borderId="25" xfId="0" applyFont="1" applyBorder="1" applyAlignment="1">
      <alignment vertical="center"/>
    </xf>
    <xf numFmtId="0" fontId="38" fillId="0" borderId="24" xfId="0" applyFont="1" applyBorder="1" applyAlignment="1">
      <alignment horizontal="center"/>
    </xf>
    <xf numFmtId="0" fontId="45" fillId="0" borderId="25" xfId="0" applyFont="1" applyBorder="1" applyAlignment="1">
      <alignment horizontal="left"/>
    </xf>
    <xf numFmtId="171" fontId="4" fillId="0" borderId="25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169" fontId="58" fillId="0" borderId="22" xfId="0" applyNumberFormat="1" applyFont="1" applyBorder="1" applyAlignment="1">
      <alignment horizontal="right" vertical="center"/>
    </xf>
    <xf numFmtId="0" fontId="4" fillId="0" borderId="26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8" fillId="41" borderId="24" xfId="0" applyFont="1" applyFill="1" applyBorder="1"/>
    <xf numFmtId="0" fontId="38" fillId="41" borderId="25" xfId="0" applyFont="1" applyFill="1" applyBorder="1"/>
    <xf numFmtId="0" fontId="38" fillId="0" borderId="25" xfId="0" applyFont="1" applyBorder="1" applyAlignment="1">
      <alignment horizontal="center"/>
    </xf>
    <xf numFmtId="0" fontId="49" fillId="0" borderId="24" xfId="0" applyFont="1" applyBorder="1" applyAlignment="1">
      <alignment horizontal="center"/>
    </xf>
    <xf numFmtId="0" fontId="0" fillId="0" borderId="22" xfId="0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4" fillId="0" borderId="25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6" fillId="0" borderId="22" xfId="0" applyFont="1" applyBorder="1" applyAlignment="1">
      <alignment horizontal="left" vertical="center"/>
    </xf>
    <xf numFmtId="169" fontId="46" fillId="0" borderId="22" xfId="0" applyNumberFormat="1" applyFont="1" applyBorder="1" applyAlignment="1">
      <alignment horizontal="left" vertical="center"/>
    </xf>
    <xf numFmtId="169" fontId="48" fillId="0" borderId="22" xfId="0" applyNumberFormat="1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/>
    </xf>
    <xf numFmtId="164" fontId="38" fillId="0" borderId="22" xfId="0" applyNumberFormat="1" applyFont="1" applyBorder="1" applyAlignment="1">
      <alignment horizontal="left" vertical="center" wrapText="1"/>
    </xf>
    <xf numFmtId="0" fontId="38" fillId="0" borderId="22" xfId="0" applyFont="1" applyBorder="1" applyAlignment="1">
      <alignment horizontal="left" vertical="center" wrapText="1"/>
    </xf>
    <xf numFmtId="0" fontId="38" fillId="0" borderId="25" xfId="0" applyFont="1" applyBorder="1"/>
    <xf numFmtId="0" fontId="38" fillId="0" borderId="24" xfId="0" applyFont="1" applyBorder="1"/>
    <xf numFmtId="0" fontId="28" fillId="41" borderId="22" xfId="3" applyFont="1" applyFill="1" applyBorder="1" applyAlignment="1">
      <alignment horizontal="center" vertical="center" wrapText="1"/>
    </xf>
    <xf numFmtId="0" fontId="51" fillId="24" borderId="25" xfId="3" applyFont="1" applyFill="1" applyBorder="1" applyAlignment="1">
      <alignment horizontal="center" vertical="center" wrapText="1"/>
    </xf>
    <xf numFmtId="49" fontId="24" fillId="0" borderId="22" xfId="0" applyNumberFormat="1" applyFont="1" applyBorder="1" applyAlignment="1">
      <alignment horizontal="center" vertical="center"/>
    </xf>
    <xf numFmtId="0" fontId="60" fillId="0" borderId="0" xfId="0" applyFont="1" applyAlignment="1">
      <alignment vertical="center"/>
    </xf>
    <xf numFmtId="0" fontId="2" fillId="0" borderId="22" xfId="0" applyFont="1" applyBorder="1" applyAlignment="1">
      <alignment horizontal="left" vertical="center"/>
    </xf>
    <xf numFmtId="0" fontId="6" fillId="0" borderId="22" xfId="0" applyFont="1" applyBorder="1" applyAlignment="1">
      <alignment horizontal="center" vertical="center"/>
    </xf>
    <xf numFmtId="0" fontId="0" fillId="41" borderId="22" xfId="0" applyFill="1" applyBorder="1"/>
    <xf numFmtId="0" fontId="49" fillId="41" borderId="22" xfId="0" applyFont="1" applyFill="1" applyBorder="1" applyAlignment="1">
      <alignment horizontal="center"/>
    </xf>
    <xf numFmtId="0" fontId="4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24" fillId="0" borderId="22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0" fillId="14" borderId="22" xfId="0" applyFill="1" applyBorder="1"/>
    <xf numFmtId="20" fontId="6" fillId="0" borderId="22" xfId="0" applyNumberFormat="1" applyFont="1" applyBorder="1"/>
    <xf numFmtId="0" fontId="24" fillId="0" borderId="22" xfId="0" applyFont="1" applyBorder="1"/>
    <xf numFmtId="0" fontId="1" fillId="0" borderId="22" xfId="1" applyBorder="1" applyAlignment="1" applyProtection="1">
      <alignment wrapText="1"/>
    </xf>
    <xf numFmtId="20" fontId="2" fillId="0" borderId="22" xfId="0" applyNumberFormat="1" applyFont="1" applyBorder="1"/>
    <xf numFmtId="0" fontId="62" fillId="0" borderId="22" xfId="0" applyFont="1" applyBorder="1" applyAlignment="1">
      <alignment vertical="center"/>
    </xf>
    <xf numFmtId="0" fontId="63" fillId="0" borderId="22" xfId="0" applyFont="1" applyBorder="1"/>
    <xf numFmtId="0" fontId="64" fillId="42" borderId="22" xfId="0" applyFont="1" applyFill="1" applyBorder="1"/>
    <xf numFmtId="0" fontId="2" fillId="0" borderId="22" xfId="0" applyFont="1" applyBorder="1"/>
    <xf numFmtId="49" fontId="4" fillId="0" borderId="22" xfId="0" applyNumberFormat="1" applyFont="1" applyBorder="1" applyAlignment="1">
      <alignment horizontal="center" vertical="center"/>
    </xf>
    <xf numFmtId="0" fontId="5" fillId="0" borderId="22" xfId="0" applyFont="1" applyBorder="1"/>
    <xf numFmtId="0" fontId="6" fillId="0" borderId="22" xfId="0" applyFont="1" applyBorder="1"/>
    <xf numFmtId="0" fontId="0" fillId="0" borderId="25" xfId="0" applyBorder="1" applyAlignment="1">
      <alignment vertical="center"/>
    </xf>
    <xf numFmtId="0" fontId="17" fillId="0" borderId="25" xfId="0" applyFont="1" applyBorder="1"/>
    <xf numFmtId="49" fontId="31" fillId="27" borderId="28" xfId="0" applyNumberFormat="1" applyFont="1" applyFill="1" applyBorder="1"/>
    <xf numFmtId="49" fontId="39" fillId="0" borderId="22" xfId="0" applyNumberFormat="1" applyFont="1" applyBorder="1" applyAlignment="1">
      <alignment vertical="center"/>
    </xf>
    <xf numFmtId="49" fontId="5" fillId="0" borderId="0" xfId="0" applyNumberFormat="1" applyFont="1" applyAlignment="1">
      <alignment horizontal="left"/>
    </xf>
    <xf numFmtId="49" fontId="5" fillId="0" borderId="22" xfId="0" applyNumberFormat="1" applyFont="1" applyBorder="1" applyAlignment="1">
      <alignment horizontal="left"/>
    </xf>
    <xf numFmtId="49" fontId="5" fillId="0" borderId="26" xfId="0" applyNumberFormat="1" applyFont="1" applyBorder="1" applyAlignment="1">
      <alignment horizontal="left"/>
    </xf>
    <xf numFmtId="49" fontId="5" fillId="0" borderId="33" xfId="0" applyNumberFormat="1" applyFont="1" applyBorder="1" applyAlignment="1">
      <alignment horizontal="left"/>
    </xf>
    <xf numFmtId="49" fontId="5" fillId="0" borderId="34" xfId="0" applyNumberFormat="1" applyFont="1" applyBorder="1" applyAlignment="1">
      <alignment horizontal="left"/>
    </xf>
    <xf numFmtId="49" fontId="5" fillId="0" borderId="25" xfId="0" applyNumberFormat="1" applyFont="1" applyBorder="1" applyAlignment="1">
      <alignment horizontal="left"/>
    </xf>
    <xf numFmtId="49" fontId="0" fillId="0" borderId="22" xfId="0" applyNumberFormat="1" applyBorder="1" applyAlignment="1">
      <alignment horizontal="left" vertical="center"/>
    </xf>
    <xf numFmtId="49" fontId="0" fillId="0" borderId="22" xfId="0" applyNumberFormat="1" applyBorder="1" applyAlignment="1">
      <alignment horizontal="left"/>
    </xf>
    <xf numFmtId="49" fontId="2" fillId="0" borderId="22" xfId="0" applyNumberFormat="1" applyFont="1" applyBorder="1"/>
    <xf numFmtId="49" fontId="63" fillId="0" borderId="22" xfId="0" applyNumberFormat="1" applyFont="1" applyBorder="1"/>
    <xf numFmtId="49" fontId="2" fillId="0" borderId="22" xfId="0" applyNumberFormat="1" applyFont="1" applyBorder="1" applyAlignment="1">
      <alignment horizontal="left" vertical="center"/>
    </xf>
    <xf numFmtId="49" fontId="5" fillId="0" borderId="22" xfId="0" applyNumberFormat="1" applyFont="1" applyBorder="1"/>
    <xf numFmtId="49" fontId="29" fillId="27" borderId="28" xfId="0" applyNumberFormat="1" applyFont="1" applyFill="1" applyBorder="1" applyAlignment="1">
      <alignment horizontal="center"/>
    </xf>
    <xf numFmtId="49" fontId="4" fillId="0" borderId="25" xfId="0" applyNumberFormat="1" applyFont="1" applyBorder="1" applyAlignment="1">
      <alignment horizontal="center" vertical="center"/>
    </xf>
    <xf numFmtId="49" fontId="24" fillId="0" borderId="25" xfId="0" applyNumberFormat="1" applyFont="1" applyBorder="1" applyAlignment="1">
      <alignment horizontal="center" vertical="center"/>
    </xf>
    <xf numFmtId="49" fontId="61" fillId="0" borderId="22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/>
    </xf>
    <xf numFmtId="49" fontId="24" fillId="0" borderId="22" xfId="0" applyNumberFormat="1" applyFont="1" applyBorder="1" applyAlignment="1">
      <alignment vertical="center"/>
    </xf>
    <xf numFmtId="49" fontId="24" fillId="0" borderId="22" xfId="0" applyNumberFormat="1" applyFont="1" applyBorder="1" applyAlignment="1">
      <alignment horizontal="center"/>
    </xf>
    <xf numFmtId="2" fontId="29" fillId="0" borderId="0" xfId="0" applyNumberFormat="1" applyFont="1" applyFill="1" applyBorder="1" applyAlignment="1">
      <alignment horizontal="right" vertical="center" wrapText="1"/>
    </xf>
  </cellXfs>
  <cellStyles count="4">
    <cellStyle name="Excel Built-in Normal_Feuil1" xfId="3" xr:uid="{4C774985-0DB6-41E8-9377-FB58F229635D}"/>
    <cellStyle name="Lien hypertexte" xfId="1" builtinId="8"/>
    <cellStyle name="Normal" xfId="0" builtinId="0"/>
    <cellStyle name="Normal 3" xfId="2" xr:uid="{6BE62FF0-9033-4E03-9E3A-32961851C8F0}"/>
  </cellStyles>
  <dxfs count="86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008000"/>
      <color rgb="FFB4A7D6"/>
      <color rgb="FFFFCCFF"/>
      <color rgb="FF3366FF"/>
      <color rgb="FFEA9999"/>
      <color rgb="FF006600"/>
      <color rgb="FF000000"/>
      <color rgb="FF336600"/>
      <color rgb="FF003300"/>
      <color rgb="FFB45F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0</xdr:row>
      <xdr:rowOff>9525</xdr:rowOff>
    </xdr:from>
    <xdr:to>
      <xdr:col>7</xdr:col>
      <xdr:colOff>1276350</xdr:colOff>
      <xdr:row>0</xdr:row>
      <xdr:rowOff>447675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7717750" y="9525"/>
          <a:ext cx="1247775" cy="438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>
              <a:solidFill>
                <a:sysClr val="windowText" lastClr="000000"/>
              </a:solidFill>
            </a:rPr>
            <a:t>Total</a:t>
          </a:r>
          <a:r>
            <a:rPr lang="fr-FR" sz="1100" b="1" baseline="0">
              <a:solidFill>
                <a:sysClr val="windowText" lastClr="000000"/>
              </a:solidFill>
            </a:rPr>
            <a:t> en ligne 170</a:t>
          </a:r>
          <a:endParaRPr lang="fr-F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28575</xdr:colOff>
      <xdr:row>0</xdr:row>
      <xdr:rowOff>9525</xdr:rowOff>
    </xdr:from>
    <xdr:to>
      <xdr:col>8</xdr:col>
      <xdr:colOff>1266825</xdr:colOff>
      <xdr:row>0</xdr:row>
      <xdr:rowOff>447675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9479875" y="9525"/>
          <a:ext cx="1238250" cy="438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>
              <a:solidFill>
                <a:sysClr val="windowText" lastClr="000000"/>
              </a:solidFill>
            </a:rPr>
            <a:t>Total</a:t>
          </a:r>
          <a:r>
            <a:rPr lang="fr-FR" sz="1100" b="1" baseline="0">
              <a:solidFill>
                <a:sysClr val="windowText" lastClr="000000"/>
              </a:solidFill>
            </a:rPr>
            <a:t> en ligne 170</a:t>
          </a:r>
          <a:endParaRPr lang="fr-F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1247775</xdr:colOff>
      <xdr:row>0</xdr:row>
      <xdr:rowOff>438150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1213425" y="0"/>
          <a:ext cx="1247775" cy="438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>
              <a:solidFill>
                <a:sysClr val="windowText" lastClr="000000"/>
              </a:solidFill>
            </a:rPr>
            <a:t>Total</a:t>
          </a:r>
          <a:r>
            <a:rPr lang="fr-FR" sz="1100" b="1" baseline="0">
              <a:solidFill>
                <a:sysClr val="windowText" lastClr="000000"/>
              </a:solidFill>
            </a:rPr>
            <a:t> en ligne 170</a:t>
          </a:r>
          <a:endParaRPr lang="fr-F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0</xdr:colOff>
      <xdr:row>0</xdr:row>
      <xdr:rowOff>0</xdr:rowOff>
    </xdr:from>
    <xdr:to>
      <xdr:col>10</xdr:col>
      <xdr:colOff>1247775</xdr:colOff>
      <xdr:row>0</xdr:row>
      <xdr:rowOff>438150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2775525" y="0"/>
          <a:ext cx="1247775" cy="438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>
              <a:solidFill>
                <a:sysClr val="windowText" lastClr="000000"/>
              </a:solidFill>
            </a:rPr>
            <a:t>Total</a:t>
          </a:r>
          <a:r>
            <a:rPr lang="fr-FR" sz="1100" b="1" baseline="0">
              <a:solidFill>
                <a:sysClr val="windowText" lastClr="000000"/>
              </a:solidFill>
            </a:rPr>
            <a:t> en ligne 170</a:t>
          </a:r>
          <a:endParaRPr lang="fr-F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0</xdr:colOff>
      <xdr:row>0</xdr:row>
      <xdr:rowOff>0</xdr:rowOff>
    </xdr:from>
    <xdr:to>
      <xdr:col>12</xdr:col>
      <xdr:colOff>19050</xdr:colOff>
      <xdr:row>0</xdr:row>
      <xdr:rowOff>438150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34604325" y="0"/>
          <a:ext cx="1247775" cy="438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>
              <a:solidFill>
                <a:sysClr val="windowText" lastClr="000000"/>
              </a:solidFill>
            </a:rPr>
            <a:t>Total</a:t>
          </a:r>
          <a:r>
            <a:rPr lang="fr-FR" sz="1100" b="1" baseline="0">
              <a:solidFill>
                <a:sysClr val="windowText" lastClr="000000"/>
              </a:solidFill>
            </a:rPr>
            <a:t> en ligne 170</a:t>
          </a:r>
          <a:endParaRPr lang="fr-F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0</xdr:colOff>
      <xdr:row>0</xdr:row>
      <xdr:rowOff>0</xdr:rowOff>
    </xdr:from>
    <xdr:to>
      <xdr:col>13</xdr:col>
      <xdr:colOff>19050</xdr:colOff>
      <xdr:row>0</xdr:row>
      <xdr:rowOff>438150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35833050" y="0"/>
          <a:ext cx="1247775" cy="438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>
              <a:solidFill>
                <a:sysClr val="windowText" lastClr="000000"/>
              </a:solidFill>
            </a:rPr>
            <a:t>Total</a:t>
          </a:r>
          <a:r>
            <a:rPr lang="fr-FR" sz="1100" b="1" baseline="0">
              <a:solidFill>
                <a:sysClr val="windowText" lastClr="000000"/>
              </a:solidFill>
            </a:rPr>
            <a:t> en ligne 170</a:t>
          </a:r>
          <a:endParaRPr lang="fr-F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0</xdr:colOff>
      <xdr:row>0</xdr:row>
      <xdr:rowOff>0</xdr:rowOff>
    </xdr:from>
    <xdr:to>
      <xdr:col>14</xdr:col>
      <xdr:colOff>19050</xdr:colOff>
      <xdr:row>0</xdr:row>
      <xdr:rowOff>438150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37061775" y="0"/>
          <a:ext cx="1247775" cy="438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>
              <a:solidFill>
                <a:sysClr val="windowText" lastClr="000000"/>
              </a:solidFill>
            </a:rPr>
            <a:t>Total</a:t>
          </a:r>
          <a:r>
            <a:rPr lang="fr-FR" sz="1100" b="1" baseline="0">
              <a:solidFill>
                <a:sysClr val="windowText" lastClr="000000"/>
              </a:solidFill>
            </a:rPr>
            <a:t> en ligne 170</a:t>
          </a:r>
          <a:endParaRPr lang="fr-F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0</xdr:colOff>
      <xdr:row>0</xdr:row>
      <xdr:rowOff>0</xdr:rowOff>
    </xdr:from>
    <xdr:to>
      <xdr:col>15</xdr:col>
      <xdr:colOff>19050</xdr:colOff>
      <xdr:row>0</xdr:row>
      <xdr:rowOff>438150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38290500" y="0"/>
          <a:ext cx="1247775" cy="438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>
              <a:solidFill>
                <a:sysClr val="windowText" lastClr="000000"/>
              </a:solidFill>
            </a:rPr>
            <a:t>Total</a:t>
          </a:r>
          <a:r>
            <a:rPr lang="fr-FR" sz="1100" b="1" baseline="0">
              <a:solidFill>
                <a:sysClr val="windowText" lastClr="000000"/>
              </a:solidFill>
            </a:rPr>
            <a:t> en ligne 170</a:t>
          </a:r>
          <a:endParaRPr lang="fr-F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0</xdr:colOff>
      <xdr:row>0</xdr:row>
      <xdr:rowOff>0</xdr:rowOff>
    </xdr:from>
    <xdr:to>
      <xdr:col>16</xdr:col>
      <xdr:colOff>19050</xdr:colOff>
      <xdr:row>0</xdr:row>
      <xdr:rowOff>438150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39519225" y="0"/>
          <a:ext cx="1247775" cy="438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>
              <a:solidFill>
                <a:sysClr val="windowText" lastClr="000000"/>
              </a:solidFill>
            </a:rPr>
            <a:t>Total</a:t>
          </a:r>
          <a:r>
            <a:rPr lang="fr-FR" sz="1100" b="1" baseline="0">
              <a:solidFill>
                <a:sysClr val="windowText" lastClr="000000"/>
              </a:solidFill>
            </a:rPr>
            <a:t> en ligne 170</a:t>
          </a:r>
          <a:endParaRPr lang="fr-F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0</xdr:colOff>
      <xdr:row>0</xdr:row>
      <xdr:rowOff>0</xdr:rowOff>
    </xdr:from>
    <xdr:to>
      <xdr:col>17</xdr:col>
      <xdr:colOff>19050</xdr:colOff>
      <xdr:row>0</xdr:row>
      <xdr:rowOff>447674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0747950" y="0"/>
          <a:ext cx="1419225" cy="4476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ysClr val="windowText" lastClr="000000"/>
              </a:solidFill>
            </a:rPr>
            <a:t>Total</a:t>
          </a:r>
          <a:r>
            <a:rPr lang="fr-FR" sz="1100" b="1" baseline="0">
              <a:solidFill>
                <a:sysClr val="windowText" lastClr="000000"/>
              </a:solidFill>
            </a:rPr>
            <a:t> en ligne 170</a:t>
          </a:r>
          <a:endParaRPr lang="fr-F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0</xdr:colOff>
      <xdr:row>0</xdr:row>
      <xdr:rowOff>0</xdr:rowOff>
    </xdr:from>
    <xdr:to>
      <xdr:col>17</xdr:col>
      <xdr:colOff>1247775</xdr:colOff>
      <xdr:row>0</xdr:row>
      <xdr:rowOff>438150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42148125" y="0"/>
          <a:ext cx="1247775" cy="438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>
              <a:solidFill>
                <a:sysClr val="windowText" lastClr="000000"/>
              </a:solidFill>
            </a:rPr>
            <a:t>Total</a:t>
          </a:r>
          <a:r>
            <a:rPr lang="fr-FR" sz="1100" b="1" baseline="0">
              <a:solidFill>
                <a:sysClr val="windowText" lastClr="000000"/>
              </a:solidFill>
            </a:rPr>
            <a:t> en ligne 170</a:t>
          </a:r>
          <a:endParaRPr lang="fr-F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1</xdr:colOff>
      <xdr:row>0</xdr:row>
      <xdr:rowOff>0</xdr:rowOff>
    </xdr:from>
    <xdr:to>
      <xdr:col>18</xdr:col>
      <xdr:colOff>1238251</xdr:colOff>
      <xdr:row>0</xdr:row>
      <xdr:rowOff>438150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43434001" y="0"/>
          <a:ext cx="1238250" cy="438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>
              <a:solidFill>
                <a:sysClr val="windowText" lastClr="000000"/>
              </a:solidFill>
            </a:rPr>
            <a:t>Total</a:t>
          </a:r>
          <a:r>
            <a:rPr lang="fr-FR" sz="1100" b="1" baseline="0">
              <a:solidFill>
                <a:sysClr val="windowText" lastClr="000000"/>
              </a:solidFill>
            </a:rPr>
            <a:t> en ligne 170</a:t>
          </a:r>
          <a:endParaRPr lang="fr-F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0</xdr:colOff>
      <xdr:row>0</xdr:row>
      <xdr:rowOff>0</xdr:rowOff>
    </xdr:from>
    <xdr:to>
      <xdr:col>19</xdr:col>
      <xdr:colOff>1333500</xdr:colOff>
      <xdr:row>0</xdr:row>
      <xdr:rowOff>438150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44691300" y="0"/>
          <a:ext cx="1333500" cy="438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>
              <a:solidFill>
                <a:sysClr val="windowText" lastClr="000000"/>
              </a:solidFill>
            </a:rPr>
            <a:t>Total</a:t>
          </a:r>
          <a:r>
            <a:rPr lang="fr-FR" sz="1100" b="1" baseline="0">
              <a:solidFill>
                <a:sysClr val="windowText" lastClr="000000"/>
              </a:solidFill>
            </a:rPr>
            <a:t> en ligne 170</a:t>
          </a:r>
          <a:endParaRPr lang="fr-F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0</xdr:colOff>
      <xdr:row>0</xdr:row>
      <xdr:rowOff>0</xdr:rowOff>
    </xdr:from>
    <xdr:to>
      <xdr:col>21</xdr:col>
      <xdr:colOff>19050</xdr:colOff>
      <xdr:row>0</xdr:row>
      <xdr:rowOff>438150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44281725" y="0"/>
          <a:ext cx="1362075" cy="438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>
              <a:solidFill>
                <a:sysClr val="windowText" lastClr="000000"/>
              </a:solidFill>
            </a:rPr>
            <a:t>Total</a:t>
          </a:r>
          <a:r>
            <a:rPr lang="fr-FR" sz="1100" b="1" baseline="0">
              <a:solidFill>
                <a:sysClr val="windowText" lastClr="000000"/>
              </a:solidFill>
            </a:rPr>
            <a:t> en ligne 170</a:t>
          </a:r>
          <a:endParaRPr lang="fr-FR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edfmerignac@gmail.com" TargetMode="External"/><Relationship Id="rId18" Type="http://schemas.openxmlformats.org/officeDocument/2006/relationships/hyperlink" Target="mailto:otarie.epervier@orange.fr" TargetMode="External"/><Relationship Id="rId26" Type="http://schemas.openxmlformats.org/officeDocument/2006/relationships/hyperlink" Target="mailto:mj.eedflorient@gmail.com" TargetMode="External"/><Relationship Id="rId39" Type="http://schemas.openxmlformats.org/officeDocument/2006/relationships/hyperlink" Target="mailto:martin.bretaudeau@orange.fr" TargetMode="External"/><Relationship Id="rId21" Type="http://schemas.openxmlformats.org/officeDocument/2006/relationships/hyperlink" Target="mailto:galang@wanadoo.fr" TargetMode="External"/><Relationship Id="rId34" Type="http://schemas.openxmlformats.org/officeDocument/2006/relationships/hyperlink" Target="mailto:daniel.nicole28@orange.fr" TargetMode="External"/><Relationship Id="rId42" Type="http://schemas.openxmlformats.org/officeDocument/2006/relationships/hyperlink" Target="mailto:martinez.clement@gmail.com" TargetMode="External"/><Relationship Id="rId47" Type="http://schemas.openxmlformats.org/officeDocument/2006/relationships/hyperlink" Target="mailto:Charley@eedf-saintlaurentduvar.info" TargetMode="External"/><Relationship Id="rId50" Type="http://schemas.openxmlformats.org/officeDocument/2006/relationships/hyperlink" Target="mailto:sanchez.charlie1@gmail.com" TargetMode="External"/><Relationship Id="rId55" Type="http://schemas.openxmlformats.org/officeDocument/2006/relationships/hyperlink" Target="mailto:Henri.thibault@gmail.com" TargetMode="External"/><Relationship Id="rId63" Type="http://schemas.openxmlformats.org/officeDocument/2006/relationships/hyperlink" Target="mailto:enfance.cs.smj@gmail.com" TargetMode="External"/><Relationship Id="rId68" Type="http://schemas.openxmlformats.org/officeDocument/2006/relationships/hyperlink" Target="mailto:aslambs68@gmail.com" TargetMode="External"/><Relationship Id="rId76" Type="http://schemas.openxmlformats.org/officeDocument/2006/relationships/hyperlink" Target="mailto:m.molinier889@gmail.com" TargetMode="External"/><Relationship Id="rId84" Type="http://schemas.openxmlformats.org/officeDocument/2006/relationships/hyperlink" Target="mailto:eedf.grasse@gmail.com" TargetMode="External"/><Relationship Id="rId89" Type="http://schemas.openxmlformats.org/officeDocument/2006/relationships/hyperlink" Target="mailto:lauragasen@gmail.com" TargetMode="External"/><Relationship Id="rId7" Type="http://schemas.openxmlformats.org/officeDocument/2006/relationships/hyperlink" Target="mailto:adrien@derache.eu" TargetMode="External"/><Relationship Id="rId71" Type="http://schemas.openxmlformats.org/officeDocument/2006/relationships/hyperlink" Target="mailto:ludo.nauroy@gmail.com" TargetMode="External"/><Relationship Id="rId92" Type="http://schemas.openxmlformats.org/officeDocument/2006/relationships/hyperlink" Target="mailto:eliot.ewald@gmail.com" TargetMode="External"/><Relationship Id="rId2" Type="http://schemas.openxmlformats.org/officeDocument/2006/relationships/hyperlink" Target="mailto:odelinebisson@hotmail.com" TargetMode="External"/><Relationship Id="rId16" Type="http://schemas.openxmlformats.org/officeDocument/2006/relationships/hyperlink" Target="mailto:polonialexandre@yahoo.fr" TargetMode="External"/><Relationship Id="rId29" Type="http://schemas.openxmlformats.org/officeDocument/2006/relationships/hyperlink" Target="mailto:clement.g.guy@gmail.com" TargetMode="External"/><Relationship Id="rId11" Type="http://schemas.openxmlformats.org/officeDocument/2006/relationships/hyperlink" Target="mailto:ch-hogard@hotmail.com" TargetMode="External"/><Relationship Id="rId24" Type="http://schemas.openxmlformats.org/officeDocument/2006/relationships/hyperlink" Target="mailto:frassard@live.fr" TargetMode="External"/><Relationship Id="rId32" Type="http://schemas.openxmlformats.org/officeDocument/2006/relationships/hyperlink" Target="mailto:laura.dangoumau@wanadoo.fr" TargetMode="External"/><Relationship Id="rId37" Type="http://schemas.openxmlformats.org/officeDocument/2006/relationships/hyperlink" Target="mailto:nicolas.rossignol@bbox.fr" TargetMode="External"/><Relationship Id="rId40" Type="http://schemas.openxmlformats.org/officeDocument/2006/relationships/hyperlink" Target="mailto:corinne@claveau.net" TargetMode="External"/><Relationship Id="rId45" Type="http://schemas.openxmlformats.org/officeDocument/2006/relationships/hyperlink" Target="mailto:vincentfalqu2@gmail.com" TargetMode="External"/><Relationship Id="rId53" Type="http://schemas.openxmlformats.org/officeDocument/2006/relationships/hyperlink" Target="mailto:vdm.chloe@wanadoo.fr" TargetMode="External"/><Relationship Id="rId58" Type="http://schemas.openxmlformats.org/officeDocument/2006/relationships/hyperlink" Target="mailto:gaspard@ra.eedf.fr" TargetMode="External"/><Relationship Id="rId66" Type="http://schemas.openxmlformats.org/officeDocument/2006/relationships/hyperlink" Target="mailto:alezan@eedf.org" TargetMode="External"/><Relationship Id="rId74" Type="http://schemas.openxmlformats.org/officeDocument/2006/relationships/hyperlink" Target="mailto:Martin.richard.pro@gmail.com" TargetMode="External"/><Relationship Id="rId79" Type="http://schemas.openxmlformats.org/officeDocument/2006/relationships/hyperlink" Target="mailto:cardi@live.com" TargetMode="External"/><Relationship Id="rId87" Type="http://schemas.openxmlformats.org/officeDocument/2006/relationships/hyperlink" Target="mailto:bernadette.capon@orange.fr" TargetMode="External"/><Relationship Id="rId5" Type="http://schemas.openxmlformats.org/officeDocument/2006/relationships/hyperlink" Target="mailto:caroline.decherf@gmail.com" TargetMode="External"/><Relationship Id="rId61" Type="http://schemas.openxmlformats.org/officeDocument/2006/relationships/hyperlink" Target="mailto:tsalome@hotmail.fr" TargetMode="External"/><Relationship Id="rId82" Type="http://schemas.openxmlformats.org/officeDocument/2006/relationships/hyperlink" Target="mailto:claire.geraud.cg@gmail.com" TargetMode="External"/><Relationship Id="rId90" Type="http://schemas.openxmlformats.org/officeDocument/2006/relationships/hyperlink" Target="mailto:claude.pham-tam@wanadoo.fr" TargetMode="External"/><Relationship Id="rId95" Type="http://schemas.openxmlformats.org/officeDocument/2006/relationships/printerSettings" Target="../printerSettings/printerSettings1.bin"/><Relationship Id="rId19" Type="http://schemas.openxmlformats.org/officeDocument/2006/relationships/hyperlink" Target="mailto:daniel.champier@univ-pau.fr" TargetMode="External"/><Relationship Id="rId14" Type="http://schemas.openxmlformats.org/officeDocument/2006/relationships/hyperlink" Target="mailto:snejana.lukovic@gmail.com" TargetMode="External"/><Relationship Id="rId22" Type="http://schemas.openxmlformats.org/officeDocument/2006/relationships/hyperlink" Target="mailto:laura.dangoumau@wanadoo.fr" TargetMode="External"/><Relationship Id="rId27" Type="http://schemas.openxmlformats.org/officeDocument/2006/relationships/hyperlink" Target="mailto:eedflorient@orange.fr" TargetMode="External"/><Relationship Id="rId30" Type="http://schemas.openxmlformats.org/officeDocument/2006/relationships/hyperlink" Target="mailto:leborgne.lea@outlook.fr" TargetMode="External"/><Relationship Id="rId35" Type="http://schemas.openxmlformats.org/officeDocument/2006/relationships/hyperlink" Target="mailto:francois.detrille@gmail.com" TargetMode="External"/><Relationship Id="rId43" Type="http://schemas.openxmlformats.org/officeDocument/2006/relationships/hyperlink" Target="mailto:mae@ra.eedf.fr" TargetMode="External"/><Relationship Id="rId48" Type="http://schemas.openxmlformats.org/officeDocument/2006/relationships/hyperlink" Target="mailto:eclaireursarles@free.fr" TargetMode="External"/><Relationship Id="rId56" Type="http://schemas.openxmlformats.org/officeDocument/2006/relationships/hyperlink" Target="mailto:severin.poinas@wanadoo.fr" TargetMode="External"/><Relationship Id="rId64" Type="http://schemas.openxmlformats.org/officeDocument/2006/relationships/hyperlink" Target="mailto:p.czertow@homail.fr" TargetMode="External"/><Relationship Id="rId69" Type="http://schemas.openxmlformats.org/officeDocument/2006/relationships/hyperlink" Target="mailto:falsmada@gmail.com" TargetMode="External"/><Relationship Id="rId77" Type="http://schemas.openxmlformats.org/officeDocument/2006/relationships/hyperlink" Target="mailto:aurelie.assens@yahoo.fr" TargetMode="External"/><Relationship Id="rId8" Type="http://schemas.openxmlformats.org/officeDocument/2006/relationships/hyperlink" Target="mailto:secretaire.eedfjulesverne@gmail.com" TargetMode="External"/><Relationship Id="rId51" Type="http://schemas.openxmlformats.org/officeDocument/2006/relationships/hyperlink" Target="mailto:latrech.rachel@gmail.com" TargetMode="External"/><Relationship Id="rId72" Type="http://schemas.openxmlformats.org/officeDocument/2006/relationships/hyperlink" Target="mailto:yvain.canivet@laposte.net" TargetMode="External"/><Relationship Id="rId80" Type="http://schemas.openxmlformats.org/officeDocument/2006/relationships/hyperlink" Target="mailto:laplanche@eedf,asso,fr" TargetMode="External"/><Relationship Id="rId85" Type="http://schemas.openxmlformats.org/officeDocument/2006/relationships/hyperlink" Target="mailto:margot.viala@gmail.com" TargetMode="External"/><Relationship Id="rId93" Type="http://schemas.openxmlformats.org/officeDocument/2006/relationships/hyperlink" Target="mailto:qmanu.adamp@laposte.net" TargetMode="External"/><Relationship Id="rId3" Type="http://schemas.openxmlformats.org/officeDocument/2006/relationships/hyperlink" Target="mailto:leosanquer@laposte.net" TargetMode="External"/><Relationship Id="rId12" Type="http://schemas.openxmlformats.org/officeDocument/2006/relationships/hyperlink" Target="mailto:ch-hogard@hotmail.com" TargetMode="External"/><Relationship Id="rId17" Type="http://schemas.openxmlformats.org/officeDocument/2006/relationships/hyperlink" Target="mailto:melanie.marques81@laposte.net" TargetMode="External"/><Relationship Id="rId25" Type="http://schemas.openxmlformats.org/officeDocument/2006/relationships/hyperlink" Target="mailto:simon.l.galle@gmail.com" TargetMode="External"/><Relationship Id="rId33" Type="http://schemas.openxmlformats.org/officeDocument/2006/relationships/hyperlink" Target="mailto:clotilde.thabeau@gmail.com" TargetMode="External"/><Relationship Id="rId38" Type="http://schemas.openxmlformats.org/officeDocument/2006/relationships/hyperlink" Target="mailto:stephananimateur@live.fr" TargetMode="External"/><Relationship Id="rId46" Type="http://schemas.openxmlformats.org/officeDocument/2006/relationships/hyperlink" Target="mailto:v.cabillic@live.fr" TargetMode="External"/><Relationship Id="rId59" Type="http://schemas.openxmlformats.org/officeDocument/2006/relationships/hyperlink" Target="mailto:tim.messina@hotmail.fr" TargetMode="External"/><Relationship Id="rId67" Type="http://schemas.openxmlformats.org/officeDocument/2006/relationships/hyperlink" Target="mailto:gaire.thomas@outlook.fr" TargetMode="External"/><Relationship Id="rId20" Type="http://schemas.openxmlformats.org/officeDocument/2006/relationships/hyperlink" Target="mailto:melanie.marques81@laposte.net" TargetMode="External"/><Relationship Id="rId41" Type="http://schemas.openxmlformats.org/officeDocument/2006/relationships/hyperlink" Target="mailto:costesmax@gmail.com" TargetMode="External"/><Relationship Id="rId54" Type="http://schemas.openxmlformats.org/officeDocument/2006/relationships/hyperlink" Target="mailto:ldolias@free.fr" TargetMode="External"/><Relationship Id="rId62" Type="http://schemas.openxmlformats.org/officeDocument/2006/relationships/hyperlink" Target="mailto:layla_mougel@hotmail.fr" TargetMode="External"/><Relationship Id="rId70" Type="http://schemas.openxmlformats.org/officeDocument/2006/relationships/hyperlink" Target="mailto:jimmy.vermot-desroches@orange.fr" TargetMode="External"/><Relationship Id="rId75" Type="http://schemas.openxmlformats.org/officeDocument/2006/relationships/hyperlink" Target="mailto:grangier.rr@gmail.com" TargetMode="External"/><Relationship Id="rId83" Type="http://schemas.openxmlformats.org/officeDocument/2006/relationships/hyperlink" Target="mailto:follet.pierre@hotmail.fr" TargetMode="External"/><Relationship Id="rId88" Type="http://schemas.openxmlformats.org/officeDocument/2006/relationships/hyperlink" Target="mailto:gilles.tremoulet1@aliceadsl.fr" TargetMode="External"/><Relationship Id="rId91" Type="http://schemas.openxmlformats.org/officeDocument/2006/relationships/hyperlink" Target="mailto:pierre.guillez@gmail.com" TargetMode="External"/><Relationship Id="rId96" Type="http://schemas.openxmlformats.org/officeDocument/2006/relationships/drawing" Target="../drawings/drawing1.xml"/><Relationship Id="rId1" Type="http://schemas.openxmlformats.org/officeDocument/2006/relationships/hyperlink" Target="mailto:lebeguech@numericable.fr" TargetMode="External"/><Relationship Id="rId6" Type="http://schemas.openxmlformats.org/officeDocument/2006/relationships/hyperlink" Target="mailto:cathy.helevaut@gmail.com" TargetMode="External"/><Relationship Id="rId15" Type="http://schemas.openxmlformats.org/officeDocument/2006/relationships/hyperlink" Target="mailto:lea@rfpa.com" TargetMode="External"/><Relationship Id="rId23" Type="http://schemas.openxmlformats.org/officeDocument/2006/relationships/hyperlink" Target="mailto:lefevre.crime@yahoo.fr" TargetMode="External"/><Relationship Id="rId28" Type="http://schemas.openxmlformats.org/officeDocument/2006/relationships/hyperlink" Target="mailto:aines.lorient@gmail.com" TargetMode="External"/><Relationship Id="rId36" Type="http://schemas.openxmlformats.org/officeDocument/2006/relationships/hyperlink" Target="mailto:caroline@eedftalant.fr" TargetMode="External"/><Relationship Id="rId49" Type="http://schemas.openxmlformats.org/officeDocument/2006/relationships/hyperlink" Target="mailto:adrien@derache.eu" TargetMode="External"/><Relationship Id="rId57" Type="http://schemas.openxmlformats.org/officeDocument/2006/relationships/hyperlink" Target="mailto:lauragasen@gmail.com" TargetMode="External"/><Relationship Id="rId10" Type="http://schemas.openxmlformats.org/officeDocument/2006/relationships/hyperlink" Target="mailto:aurelie.engloo@gmail.com" TargetMode="External"/><Relationship Id="rId31" Type="http://schemas.openxmlformats.org/officeDocument/2006/relationships/hyperlink" Target="mailto:lavabre.marianne@gmail.com" TargetMode="External"/><Relationship Id="rId44" Type="http://schemas.openxmlformats.org/officeDocument/2006/relationships/hyperlink" Target="mailto:eedfagly@orange.fr" TargetMode="External"/><Relationship Id="rId52" Type="http://schemas.openxmlformats.org/officeDocument/2006/relationships/hyperlink" Target="mailto:aurelie.engloo@gmail.com" TargetMode="External"/><Relationship Id="rId60" Type="http://schemas.openxmlformats.org/officeDocument/2006/relationships/hyperlink" Target="mailto:louise.gros@hotmail.fr" TargetMode="External"/><Relationship Id="rId65" Type="http://schemas.openxmlformats.org/officeDocument/2006/relationships/hyperlink" Target="mailto:sthouvenin@yahoo.com" TargetMode="External"/><Relationship Id="rId73" Type="http://schemas.openxmlformats.org/officeDocument/2006/relationships/hyperlink" Target="mailto:fredericleplaine@gmail.com" TargetMode="External"/><Relationship Id="rId78" Type="http://schemas.openxmlformats.org/officeDocument/2006/relationships/hyperlink" Target="mailto:rsanquer@gmail.com" TargetMode="External"/><Relationship Id="rId81" Type="http://schemas.openxmlformats.org/officeDocument/2006/relationships/hyperlink" Target="mailto:cigaline30@orange,fr" TargetMode="External"/><Relationship Id="rId86" Type="http://schemas.openxmlformats.org/officeDocument/2006/relationships/hyperlink" Target="mailto:rsanquer@gmail.com" TargetMode="External"/><Relationship Id="rId94" Type="http://schemas.openxmlformats.org/officeDocument/2006/relationships/hyperlink" Target="mailto:v.cabillic@live.fr" TargetMode="External"/><Relationship Id="rId4" Type="http://schemas.openxmlformats.org/officeDocument/2006/relationships/hyperlink" Target="mailto:christophe.dubernay@gmail.com" TargetMode="External"/><Relationship Id="rId9" Type="http://schemas.openxmlformats.org/officeDocument/2006/relationships/hyperlink" Target="mailto:deconinck.jordan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zouhir.elqandili@sfr.fr" TargetMode="External"/><Relationship Id="rId13" Type="http://schemas.openxmlformats.org/officeDocument/2006/relationships/hyperlink" Target="mailto:loic.seffahi@gmail.com" TargetMode="External"/><Relationship Id="rId18" Type="http://schemas.openxmlformats.org/officeDocument/2006/relationships/hyperlink" Target="mailto:Manuela.kameni@gmail.com" TargetMode="External"/><Relationship Id="rId26" Type="http://schemas.openxmlformats.org/officeDocument/2006/relationships/hyperlink" Target="mailto:celinederaha@hotmail.fr" TargetMode="External"/><Relationship Id="rId3" Type="http://schemas.openxmlformats.org/officeDocument/2006/relationships/hyperlink" Target="mailto:zouhir.elqandili@sfr.fr" TargetMode="External"/><Relationship Id="rId21" Type="http://schemas.openxmlformats.org/officeDocument/2006/relationships/hyperlink" Target="mailto:Zahrabara436@yahoo.fr" TargetMode="External"/><Relationship Id="rId7" Type="http://schemas.openxmlformats.org/officeDocument/2006/relationships/hyperlink" Target="mailto:leger.thomas@live.fr" TargetMode="External"/><Relationship Id="rId12" Type="http://schemas.openxmlformats.org/officeDocument/2006/relationships/hyperlink" Target="mailto:boulygilles@hotmail.fr" TargetMode="External"/><Relationship Id="rId17" Type="http://schemas.openxmlformats.org/officeDocument/2006/relationships/hyperlink" Target="mailto:fourmont.vetea@gmail.com" TargetMode="External"/><Relationship Id="rId25" Type="http://schemas.openxmlformats.org/officeDocument/2006/relationships/hyperlink" Target="mailto:atlantebindner@hotmail.fr" TargetMode="External"/><Relationship Id="rId33" Type="http://schemas.openxmlformats.org/officeDocument/2006/relationships/hyperlink" Target="mailto:lilian.pelissier@gmail.com" TargetMode="External"/><Relationship Id="rId2" Type="http://schemas.openxmlformats.org/officeDocument/2006/relationships/hyperlink" Target="mailto:loic.seffahi@gmail.com" TargetMode="External"/><Relationship Id="rId16" Type="http://schemas.openxmlformats.org/officeDocument/2006/relationships/hyperlink" Target="mailto:soraya059@hotmail.fr" TargetMode="External"/><Relationship Id="rId20" Type="http://schemas.openxmlformats.org/officeDocument/2006/relationships/hyperlink" Target="mailto:roland.gerard@live.fr" TargetMode="External"/><Relationship Id="rId29" Type="http://schemas.openxmlformats.org/officeDocument/2006/relationships/hyperlink" Target="mailto:quentin.deparis@hotmail.fr" TargetMode="External"/><Relationship Id="rId1" Type="http://schemas.openxmlformats.org/officeDocument/2006/relationships/hyperlink" Target="mailto:soraya059@hotmail.fr" TargetMode="External"/><Relationship Id="rId6" Type="http://schemas.openxmlformats.org/officeDocument/2006/relationships/hyperlink" Target="mailto:naninonu@hotmail.fr" TargetMode="External"/><Relationship Id="rId11" Type="http://schemas.openxmlformats.org/officeDocument/2006/relationships/hyperlink" Target="mailto:hdiop79@gmail.com" TargetMode="External"/><Relationship Id="rId24" Type="http://schemas.openxmlformats.org/officeDocument/2006/relationships/hyperlink" Target="mailto:mboumba.nathan@gmail.com" TargetMode="External"/><Relationship Id="rId32" Type="http://schemas.openxmlformats.org/officeDocument/2006/relationships/hyperlink" Target="mailto:salomeanastasia@gmail.com" TargetMode="External"/><Relationship Id="rId5" Type="http://schemas.openxmlformats.org/officeDocument/2006/relationships/hyperlink" Target="mailto:rigault.l@gmail.com" TargetMode="External"/><Relationship Id="rId15" Type="http://schemas.openxmlformats.org/officeDocument/2006/relationships/hyperlink" Target="mailto:ayoubfariel@live.fr" TargetMode="External"/><Relationship Id="rId23" Type="http://schemas.openxmlformats.org/officeDocument/2006/relationships/hyperlink" Target="mailto:aeka88@gmail.com" TargetMode="External"/><Relationship Id="rId28" Type="http://schemas.openxmlformats.org/officeDocument/2006/relationships/hyperlink" Target="mailto:davidnaulin@hotmail.com" TargetMode="External"/><Relationship Id="rId10" Type="http://schemas.openxmlformats.org/officeDocument/2006/relationships/hyperlink" Target="mailto:mumu-46@hotmail.fr" TargetMode="External"/><Relationship Id="rId19" Type="http://schemas.openxmlformats.org/officeDocument/2006/relationships/hyperlink" Target="mailto:naninonu@hotmail.fr" TargetMode="External"/><Relationship Id="rId31" Type="http://schemas.openxmlformats.org/officeDocument/2006/relationships/hyperlink" Target="mailto:1baiga.rachid@gmail.com" TargetMode="External"/><Relationship Id="rId4" Type="http://schemas.openxmlformats.org/officeDocument/2006/relationships/hyperlink" Target="mailto:roland.gerard@live.fr" TargetMode="External"/><Relationship Id="rId9" Type="http://schemas.openxmlformats.org/officeDocument/2006/relationships/hyperlink" Target="mailto:mumu-46@hotmail.fr" TargetMode="External"/><Relationship Id="rId14" Type="http://schemas.openxmlformats.org/officeDocument/2006/relationships/hyperlink" Target="mailto:ayoubfariel@live.fr" TargetMode="External"/><Relationship Id="rId22" Type="http://schemas.openxmlformats.org/officeDocument/2006/relationships/hyperlink" Target="mailto:lina-cerconstructions@outlook.fr" TargetMode="External"/><Relationship Id="rId27" Type="http://schemas.openxmlformats.org/officeDocument/2006/relationships/hyperlink" Target="mailto:LUDO.COTREL.22@GMAIL.COM" TargetMode="External"/><Relationship Id="rId30" Type="http://schemas.openxmlformats.org/officeDocument/2006/relationships/hyperlink" Target="mailto:abdelkadersaadaoui88@yahoo.fr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281"/>
  <sheetViews>
    <sheetView topLeftCell="AA157" zoomScale="69" zoomScaleNormal="86" workbookViewId="0">
      <selection activeCell="AJ167" sqref="AJ167"/>
    </sheetView>
  </sheetViews>
  <sheetFormatPr baseColWidth="10" defaultColWidth="38.26953125" defaultRowHeight="28.5" x14ac:dyDescent="0.35"/>
  <cols>
    <col min="1" max="1" width="16.26953125" style="93" customWidth="1"/>
    <col min="2" max="2" width="20.26953125" style="12" customWidth="1"/>
    <col min="3" max="3" width="26.1796875" style="12" customWidth="1"/>
    <col min="4" max="4" width="31" style="13" customWidth="1"/>
    <col min="5" max="5" width="25.54296875" style="13" customWidth="1"/>
    <col min="6" max="6" width="25.7265625" style="95" customWidth="1"/>
    <col min="7" max="7" width="26.1796875" style="95" customWidth="1"/>
    <col min="8" max="8" width="19.54296875" style="25" customWidth="1"/>
    <col min="9" max="9" width="19.26953125" style="25" customWidth="1"/>
    <col min="10" max="10" width="19.1796875" style="25" customWidth="1"/>
    <col min="11" max="11" width="19.26953125" style="25" customWidth="1"/>
    <col min="12" max="16" width="18.453125" style="25" customWidth="1"/>
    <col min="17" max="17" width="21" style="25" customWidth="1"/>
    <col min="18" max="18" width="19.26953125" style="96" customWidth="1"/>
    <col min="19" max="19" width="18.81640625" style="97" customWidth="1"/>
    <col min="20" max="20" width="20.26953125" style="98" customWidth="1"/>
    <col min="21" max="21" width="20.1796875" style="99" customWidth="1"/>
    <col min="22" max="22" width="10.453125" style="12" customWidth="1"/>
    <col min="23" max="23" width="14.26953125" style="12" customWidth="1"/>
    <col min="24" max="24" width="10.81640625" style="12" customWidth="1"/>
    <col min="25" max="25" width="15.26953125" style="12" customWidth="1"/>
    <col min="26" max="26" width="9.7265625" style="12" customWidth="1"/>
    <col min="27" max="27" width="13.54296875" style="12" customWidth="1"/>
    <col min="28" max="28" width="10.453125" style="12" customWidth="1"/>
    <col min="29" max="30" width="14.1796875" style="12" customWidth="1"/>
    <col min="31" max="31" width="14.453125" style="12" customWidth="1"/>
    <col min="32" max="32" width="20.453125" style="13" customWidth="1"/>
    <col min="33" max="33" width="15.26953125" style="13" customWidth="1"/>
    <col min="34" max="34" width="20.1796875" style="13" customWidth="1"/>
    <col min="35" max="35" width="21.7265625" style="13" customWidth="1"/>
    <col min="36" max="36" width="41.453125" style="100" customWidth="1"/>
    <col min="37" max="37" width="41.453125" style="13" customWidth="1"/>
    <col min="38" max="38" width="33.7265625" style="13" customWidth="1"/>
    <col min="39" max="39" width="39.26953125" style="13" customWidth="1"/>
    <col min="40" max="40" width="38.54296875" style="94" customWidth="1"/>
    <col min="41" max="41" width="38" style="13" customWidth="1"/>
    <col min="42" max="42" width="13.7265625" style="100" customWidth="1"/>
    <col min="43" max="43" width="15.7265625" style="207" customWidth="1"/>
    <col min="44" max="44" width="18.54296875" style="13" customWidth="1"/>
    <col min="45" max="45" width="8.453125" style="13" customWidth="1"/>
    <col min="46" max="46" width="63" style="101" customWidth="1"/>
    <col min="47" max="47" width="28.7265625" style="101" customWidth="1"/>
    <col min="48" max="48" width="28.7265625" style="102" customWidth="1"/>
    <col min="49" max="49" width="28.7265625" style="103" customWidth="1"/>
    <col min="50" max="16384" width="38.26953125" style="13"/>
  </cols>
  <sheetData>
    <row r="1" spans="1:49" s="71" customFormat="1" ht="183.75" customHeight="1" thickBot="1" x14ac:dyDescent="0.4">
      <c r="A1" s="56" t="s">
        <v>875</v>
      </c>
      <c r="B1" s="57" t="s">
        <v>41</v>
      </c>
      <c r="C1" s="57" t="s">
        <v>38</v>
      </c>
      <c r="D1" s="58" t="s">
        <v>0</v>
      </c>
      <c r="E1" s="58" t="s">
        <v>1</v>
      </c>
      <c r="F1" s="60" t="s">
        <v>2</v>
      </c>
      <c r="G1" s="60" t="s">
        <v>3</v>
      </c>
      <c r="H1" s="36" t="s">
        <v>4</v>
      </c>
      <c r="I1" s="37" t="s">
        <v>5</v>
      </c>
      <c r="J1" s="38" t="s">
        <v>6</v>
      </c>
      <c r="K1" s="39" t="s">
        <v>7</v>
      </c>
      <c r="L1" s="40" t="s">
        <v>8</v>
      </c>
      <c r="M1" s="41" t="s">
        <v>9</v>
      </c>
      <c r="N1" s="42" t="s">
        <v>10</v>
      </c>
      <c r="O1" s="43" t="s">
        <v>11</v>
      </c>
      <c r="P1" s="44" t="s">
        <v>12</v>
      </c>
      <c r="Q1" s="45" t="s">
        <v>13</v>
      </c>
      <c r="R1" s="61" t="s">
        <v>22</v>
      </c>
      <c r="S1" s="62" t="s">
        <v>23</v>
      </c>
      <c r="T1" s="63" t="s">
        <v>24</v>
      </c>
      <c r="U1" s="64" t="s">
        <v>40</v>
      </c>
      <c r="V1" s="65" t="s">
        <v>25</v>
      </c>
      <c r="W1" s="66" t="s">
        <v>26</v>
      </c>
      <c r="X1" s="66" t="s">
        <v>27</v>
      </c>
      <c r="Y1" s="66" t="s">
        <v>28</v>
      </c>
      <c r="Z1" s="66" t="s">
        <v>29</v>
      </c>
      <c r="AA1" s="66" t="s">
        <v>30</v>
      </c>
      <c r="AB1" s="66" t="s">
        <v>31</v>
      </c>
      <c r="AC1" s="66" t="s">
        <v>32</v>
      </c>
      <c r="AD1" s="66" t="s">
        <v>42</v>
      </c>
      <c r="AE1" s="66" t="s">
        <v>33</v>
      </c>
      <c r="AF1" s="67" t="s">
        <v>14</v>
      </c>
      <c r="AG1" s="67" t="s">
        <v>39</v>
      </c>
      <c r="AH1" s="68" t="s">
        <v>15</v>
      </c>
      <c r="AI1" s="58" t="s">
        <v>16</v>
      </c>
      <c r="AJ1" s="70" t="s">
        <v>17</v>
      </c>
      <c r="AK1" s="58"/>
      <c r="AL1" s="69" t="s">
        <v>18</v>
      </c>
      <c r="AM1" s="58" t="s">
        <v>19</v>
      </c>
      <c r="AN1" s="59" t="s">
        <v>20</v>
      </c>
      <c r="AO1" s="58" t="s">
        <v>21</v>
      </c>
      <c r="AP1" s="70" t="s">
        <v>35</v>
      </c>
      <c r="AQ1" s="202" t="s">
        <v>34</v>
      </c>
      <c r="AR1" s="58" t="s">
        <v>37</v>
      </c>
      <c r="AS1" s="116" t="s">
        <v>36</v>
      </c>
      <c r="AT1" s="68" t="s">
        <v>697</v>
      </c>
      <c r="AU1" s="58" t="s">
        <v>357</v>
      </c>
      <c r="AV1" s="58" t="s">
        <v>358</v>
      </c>
      <c r="AW1" s="58"/>
    </row>
    <row r="2" spans="1:49" ht="63" customHeight="1" thickBot="1" x14ac:dyDescent="0.4">
      <c r="A2" s="154">
        <v>1</v>
      </c>
      <c r="B2" s="6"/>
      <c r="C2" s="6" t="s">
        <v>43</v>
      </c>
      <c r="D2" s="14" t="s">
        <v>360</v>
      </c>
      <c r="E2" s="2"/>
      <c r="F2" s="7">
        <v>43288</v>
      </c>
      <c r="G2" s="73">
        <v>43303</v>
      </c>
      <c r="H2" s="155">
        <v>0</v>
      </c>
      <c r="I2" s="156">
        <v>0</v>
      </c>
      <c r="J2" s="157">
        <v>0</v>
      </c>
      <c r="K2" s="158">
        <v>0</v>
      </c>
      <c r="L2" s="159">
        <v>0</v>
      </c>
      <c r="M2" s="160">
        <v>0</v>
      </c>
      <c r="N2" s="161">
        <v>13</v>
      </c>
      <c r="O2" s="162">
        <v>2</v>
      </c>
      <c r="P2" s="163">
        <v>0</v>
      </c>
      <c r="Q2" s="164">
        <v>0</v>
      </c>
      <c r="R2" s="74">
        <f t="shared" ref="R2:S33" si="0">H2+J2+L2+N2+P2</f>
        <v>13</v>
      </c>
      <c r="S2" s="75">
        <f t="shared" si="0"/>
        <v>2</v>
      </c>
      <c r="T2" s="8">
        <f t="shared" ref="T2:T65" si="1">S2/R2</f>
        <v>0.15384615384615385</v>
      </c>
      <c r="U2" s="9">
        <f t="shared" ref="U2:U65" si="2">R2+S2</f>
        <v>15</v>
      </c>
      <c r="V2" s="76"/>
      <c r="W2" s="6"/>
      <c r="X2" s="6"/>
      <c r="Y2" s="6"/>
      <c r="Z2" s="6"/>
      <c r="AA2" s="6"/>
      <c r="AB2" s="6">
        <v>1</v>
      </c>
      <c r="AC2" s="6">
        <v>-1</v>
      </c>
      <c r="AD2" s="6"/>
      <c r="AE2" s="6"/>
      <c r="AF2" s="2" t="s">
        <v>65</v>
      </c>
      <c r="AG2" s="6" t="s">
        <v>45</v>
      </c>
      <c r="AH2" s="6" t="s">
        <v>46</v>
      </c>
      <c r="AI2" s="6"/>
      <c r="AJ2" s="33" t="s">
        <v>47</v>
      </c>
      <c r="AK2" s="6" t="s">
        <v>880</v>
      </c>
      <c r="AL2" s="6" t="s">
        <v>48</v>
      </c>
      <c r="AM2" s="46" t="s">
        <v>49</v>
      </c>
      <c r="AN2" s="11">
        <v>614723786</v>
      </c>
      <c r="AO2" s="2" t="s">
        <v>44</v>
      </c>
      <c r="AP2" s="33" t="s">
        <v>51</v>
      </c>
      <c r="AQ2" s="203"/>
      <c r="AR2" s="6" t="s">
        <v>52</v>
      </c>
      <c r="AS2" s="104" t="s">
        <v>53</v>
      </c>
      <c r="AT2" s="105" t="str">
        <f t="shared" ref="AT2:AT33" si="3">IF(D2="Camp d'unité Ainés","CUA",IF(D2="camp d'unité éclés","CUE",IF(D2="Camp d'unité louveteaux","CULO",IF(D2="Camp d'unité lutins","CULI",IF(D2="Camp de groupe","CG",IF(D2="Camp régional","CR",IF(D2="Camp de regroupement","CGG",IF(D2="Camp de regroupement d'unité Ainés","CRGUA",IF(D2="Camp de regroupement d'unité éclés","CRGUE",IF(D2="Camp de regroupement d'unité louveteaux","CRGULO",IF(D2="Camp de regroupement d'unité lutins","CRGULI",IF(D2="Camp inter groupe","CIG",IF(D2="Séjours adaptés mineurs","SAM",IF(D2="Séjours adaptés adultes","SAA",IF(D2="Séjours ouverts","SOU",IF(D2="Camp régional ouvert","RO"))))))))))))))))</f>
        <v>CUA</v>
      </c>
      <c r="AU2" s="105" t="str">
        <f t="shared" ref="AU2:AU33" si="4">IF(R2&lt;=20,"A",IF(AND(R2&gt;=21,R2&lt;=50),"B",IF(AND(R2&gt;=51,R2&lt;=80),"C",IF(R2&gt;80,"D"))))</f>
        <v>A</v>
      </c>
      <c r="AV2" s="106" t="s">
        <v>359</v>
      </c>
      <c r="AW2" s="107" t="e">
        <f t="shared" ref="AW2:AW65" si="5">BV2/BW2</f>
        <v>#DIV/0!</v>
      </c>
    </row>
    <row r="3" spans="1:49" ht="56.15" customHeight="1" thickBot="1" x14ac:dyDescent="0.4">
      <c r="A3" s="120">
        <v>2</v>
      </c>
      <c r="B3" s="2" t="s">
        <v>54</v>
      </c>
      <c r="C3" s="2" t="s">
        <v>54</v>
      </c>
      <c r="D3" s="2" t="s">
        <v>351</v>
      </c>
      <c r="E3" s="2" t="s">
        <v>56</v>
      </c>
      <c r="F3" s="7">
        <v>43297</v>
      </c>
      <c r="G3" s="7">
        <v>43311</v>
      </c>
      <c r="H3" s="128">
        <v>7</v>
      </c>
      <c r="I3" s="188">
        <v>2</v>
      </c>
      <c r="J3" s="124">
        <v>6</v>
      </c>
      <c r="K3" s="199">
        <v>2</v>
      </c>
      <c r="L3" s="31">
        <v>0</v>
      </c>
      <c r="M3" s="32">
        <v>0</v>
      </c>
      <c r="N3" s="17">
        <v>0</v>
      </c>
      <c r="O3" s="18">
        <v>0</v>
      </c>
      <c r="P3" s="19">
        <v>0</v>
      </c>
      <c r="Q3" s="35">
        <v>0</v>
      </c>
      <c r="R3" s="74">
        <f t="shared" si="0"/>
        <v>13</v>
      </c>
      <c r="S3" s="75">
        <f t="shared" si="0"/>
        <v>4</v>
      </c>
      <c r="T3" s="8">
        <f t="shared" si="1"/>
        <v>0.30769230769230771</v>
      </c>
      <c r="U3" s="9">
        <f t="shared" si="2"/>
        <v>17</v>
      </c>
      <c r="V3" s="3">
        <v>-13</v>
      </c>
      <c r="W3" s="2">
        <v>-1</v>
      </c>
      <c r="X3" s="2">
        <v>-14</v>
      </c>
      <c r="Y3" s="2">
        <v>-1</v>
      </c>
      <c r="Z3" s="2"/>
      <c r="AA3" s="2"/>
      <c r="AB3" s="2"/>
      <c r="AC3" s="2"/>
      <c r="AD3" s="2"/>
      <c r="AE3" s="2"/>
      <c r="AF3" s="2" t="s">
        <v>148</v>
      </c>
      <c r="AG3" s="2" t="s">
        <v>57</v>
      </c>
      <c r="AH3" s="2"/>
      <c r="AI3" s="2"/>
      <c r="AJ3" s="212" t="s">
        <v>925</v>
      </c>
      <c r="AK3" s="2" t="s">
        <v>881</v>
      </c>
      <c r="AL3" s="2" t="s">
        <v>58</v>
      </c>
      <c r="AM3" s="47" t="s">
        <v>59</v>
      </c>
      <c r="AN3" s="4">
        <v>619857146</v>
      </c>
      <c r="AO3" s="2" t="s">
        <v>55</v>
      </c>
      <c r="AP3" s="33" t="s">
        <v>51</v>
      </c>
      <c r="AQ3" s="203">
        <v>63</v>
      </c>
      <c r="AR3" s="2" t="s">
        <v>54</v>
      </c>
      <c r="AS3" s="108" t="s">
        <v>53</v>
      </c>
      <c r="AT3" s="105" t="str">
        <f t="shared" si="3"/>
        <v>CGG</v>
      </c>
      <c r="AU3" s="109" t="str">
        <f t="shared" si="4"/>
        <v>A</v>
      </c>
      <c r="AV3" s="110" t="s">
        <v>359</v>
      </c>
      <c r="AW3" s="111" t="e">
        <f t="shared" si="5"/>
        <v>#DIV/0!</v>
      </c>
    </row>
    <row r="4" spans="1:49" ht="114.75" customHeight="1" thickBot="1" x14ac:dyDescent="0.4">
      <c r="A4" s="120">
        <v>3</v>
      </c>
      <c r="B4" s="6" t="s">
        <v>61</v>
      </c>
      <c r="C4" s="2" t="s">
        <v>54</v>
      </c>
      <c r="D4" s="2" t="s">
        <v>64</v>
      </c>
      <c r="E4" s="2"/>
      <c r="F4" s="7">
        <v>43290</v>
      </c>
      <c r="G4" s="7">
        <v>43304</v>
      </c>
      <c r="H4" s="128">
        <v>0</v>
      </c>
      <c r="I4" s="188">
        <v>0</v>
      </c>
      <c r="J4" s="124">
        <v>12</v>
      </c>
      <c r="K4" s="125">
        <v>2</v>
      </c>
      <c r="L4" s="126">
        <v>16</v>
      </c>
      <c r="M4" s="130">
        <v>3</v>
      </c>
      <c r="N4" s="17">
        <v>0</v>
      </c>
      <c r="O4" s="18">
        <v>0</v>
      </c>
      <c r="P4" s="19">
        <v>0</v>
      </c>
      <c r="Q4" s="35">
        <v>2</v>
      </c>
      <c r="R4" s="74">
        <f t="shared" si="0"/>
        <v>28</v>
      </c>
      <c r="S4" s="75">
        <f t="shared" si="0"/>
        <v>7</v>
      </c>
      <c r="T4" s="8">
        <f t="shared" si="1"/>
        <v>0.25</v>
      </c>
      <c r="U4" s="9">
        <f t="shared" si="2"/>
        <v>35</v>
      </c>
      <c r="V4" s="3">
        <v>-10</v>
      </c>
      <c r="W4" s="2">
        <v>-2</v>
      </c>
      <c r="X4" s="2">
        <v>-6</v>
      </c>
      <c r="Y4" s="2">
        <v>-1</v>
      </c>
      <c r="Z4" s="2">
        <v>16</v>
      </c>
      <c r="AA4" s="2">
        <v>3</v>
      </c>
      <c r="AB4" s="2"/>
      <c r="AC4" s="2"/>
      <c r="AD4" s="2"/>
      <c r="AE4" s="2"/>
      <c r="AF4" s="2" t="s">
        <v>65</v>
      </c>
      <c r="AG4" s="2" t="s">
        <v>66</v>
      </c>
      <c r="AH4" s="2"/>
      <c r="AI4" s="2"/>
      <c r="AJ4" s="212" t="s">
        <v>67</v>
      </c>
      <c r="AK4" s="2" t="s">
        <v>883</v>
      </c>
      <c r="AL4" s="2" t="s">
        <v>62</v>
      </c>
      <c r="AM4" s="47" t="s">
        <v>63</v>
      </c>
      <c r="AN4" s="4">
        <v>626644811</v>
      </c>
      <c r="AO4" s="2" t="s">
        <v>62</v>
      </c>
      <c r="AP4" s="33" t="s">
        <v>51</v>
      </c>
      <c r="AQ4" s="203">
        <v>49</v>
      </c>
      <c r="AR4" s="6" t="s">
        <v>68</v>
      </c>
      <c r="AS4" s="108" t="s">
        <v>53</v>
      </c>
      <c r="AT4" s="105" t="str">
        <f t="shared" si="3"/>
        <v>CG</v>
      </c>
      <c r="AU4" s="109" t="str">
        <f t="shared" si="4"/>
        <v>B</v>
      </c>
      <c r="AV4" s="110" t="s">
        <v>359</v>
      </c>
      <c r="AW4" s="111" t="e">
        <f t="shared" si="5"/>
        <v>#DIV/0!</v>
      </c>
    </row>
    <row r="5" spans="1:49" ht="56.15" customHeight="1" thickBot="1" x14ac:dyDescent="0.4">
      <c r="A5" s="120">
        <v>4</v>
      </c>
      <c r="B5" s="2" t="s">
        <v>69</v>
      </c>
      <c r="C5" s="2" t="s">
        <v>54</v>
      </c>
      <c r="D5" s="2" t="s">
        <v>70</v>
      </c>
      <c r="E5" s="2" t="s">
        <v>71</v>
      </c>
      <c r="F5" s="7">
        <v>43290</v>
      </c>
      <c r="G5" s="7">
        <v>43308</v>
      </c>
      <c r="H5" s="27">
        <v>0</v>
      </c>
      <c r="I5" s="28">
        <v>0</v>
      </c>
      <c r="J5" s="29">
        <v>0</v>
      </c>
      <c r="K5" s="30">
        <v>0</v>
      </c>
      <c r="L5" s="31">
        <v>0</v>
      </c>
      <c r="M5" s="32">
        <v>0</v>
      </c>
      <c r="N5" s="189">
        <v>19</v>
      </c>
      <c r="O5" s="190">
        <v>4</v>
      </c>
      <c r="P5" s="19">
        <v>0</v>
      </c>
      <c r="Q5" s="140">
        <v>0</v>
      </c>
      <c r="R5" s="74">
        <f t="shared" si="0"/>
        <v>19</v>
      </c>
      <c r="S5" s="75">
        <f t="shared" si="0"/>
        <v>4</v>
      </c>
      <c r="T5" s="8">
        <f t="shared" si="1"/>
        <v>0.21052631578947367</v>
      </c>
      <c r="U5" s="9">
        <f t="shared" si="2"/>
        <v>23</v>
      </c>
      <c r="V5" s="3"/>
      <c r="W5" s="2"/>
      <c r="X5" s="2"/>
      <c r="Y5" s="2"/>
      <c r="Z5" s="2"/>
      <c r="AA5" s="2"/>
      <c r="AB5" s="2">
        <v>-3</v>
      </c>
      <c r="AC5" s="2">
        <v>-1</v>
      </c>
      <c r="AD5" s="2"/>
      <c r="AE5" s="2">
        <v>-1</v>
      </c>
      <c r="AF5" s="6" t="s">
        <v>72</v>
      </c>
      <c r="AG5" s="2" t="s">
        <v>73</v>
      </c>
      <c r="AH5" s="2"/>
      <c r="AI5" s="2" t="s">
        <v>50</v>
      </c>
      <c r="AJ5" s="212" t="s">
        <v>347</v>
      </c>
      <c r="AK5" s="2" t="s">
        <v>883</v>
      </c>
      <c r="AL5" s="2" t="s">
        <v>74</v>
      </c>
      <c r="AM5" s="47" t="s">
        <v>75</v>
      </c>
      <c r="AN5" s="4">
        <v>677762449</v>
      </c>
      <c r="AO5" s="2" t="s">
        <v>55</v>
      </c>
      <c r="AP5" s="33" t="s">
        <v>51</v>
      </c>
      <c r="AQ5" s="203">
        <v>12</v>
      </c>
      <c r="AR5" s="6" t="s">
        <v>52</v>
      </c>
      <c r="AS5" s="108" t="s">
        <v>53</v>
      </c>
      <c r="AT5" s="105" t="str">
        <f t="shared" si="3"/>
        <v>CRGUA</v>
      </c>
      <c r="AU5" s="109" t="str">
        <f t="shared" si="4"/>
        <v>A</v>
      </c>
      <c r="AV5" s="110" t="s">
        <v>359</v>
      </c>
      <c r="AW5" s="111" t="e">
        <f t="shared" si="5"/>
        <v>#DIV/0!</v>
      </c>
    </row>
    <row r="6" spans="1:49" ht="56.15" customHeight="1" thickBot="1" x14ac:dyDescent="0.4">
      <c r="A6" s="154">
        <v>5</v>
      </c>
      <c r="B6" s="2" t="s">
        <v>76</v>
      </c>
      <c r="C6" s="2" t="s">
        <v>54</v>
      </c>
      <c r="D6" s="2" t="s">
        <v>64</v>
      </c>
      <c r="E6" s="2"/>
      <c r="F6" s="7">
        <v>43297</v>
      </c>
      <c r="G6" s="7">
        <v>43312</v>
      </c>
      <c r="H6" s="152">
        <v>0</v>
      </c>
      <c r="I6" s="139">
        <v>0</v>
      </c>
      <c r="J6" s="145">
        <v>19</v>
      </c>
      <c r="K6" s="131">
        <v>8</v>
      </c>
      <c r="L6" s="132">
        <v>22</v>
      </c>
      <c r="M6" s="130">
        <v>7</v>
      </c>
      <c r="N6" s="17">
        <v>0</v>
      </c>
      <c r="O6" s="18">
        <v>0</v>
      </c>
      <c r="P6" s="19">
        <v>0</v>
      </c>
      <c r="Q6" s="35">
        <v>4</v>
      </c>
      <c r="R6" s="74">
        <f t="shared" si="0"/>
        <v>41</v>
      </c>
      <c r="S6" s="75">
        <f t="shared" si="0"/>
        <v>19</v>
      </c>
      <c r="T6" s="8">
        <f t="shared" si="1"/>
        <v>0.46341463414634149</v>
      </c>
      <c r="U6" s="9">
        <f t="shared" si="2"/>
        <v>60</v>
      </c>
      <c r="V6" s="3"/>
      <c r="W6" s="2"/>
      <c r="X6" s="2">
        <v>-1</v>
      </c>
      <c r="Y6" s="2">
        <v>3</v>
      </c>
      <c r="Z6" s="2">
        <v>-3</v>
      </c>
      <c r="AA6" s="2">
        <v>2</v>
      </c>
      <c r="AB6" s="2"/>
      <c r="AC6" s="2"/>
      <c r="AD6" s="2"/>
      <c r="AE6" s="2"/>
      <c r="AF6" s="6" t="s">
        <v>72</v>
      </c>
      <c r="AG6" s="2" t="s">
        <v>79</v>
      </c>
      <c r="AH6" s="2"/>
      <c r="AI6" s="2"/>
      <c r="AJ6" s="212" t="s">
        <v>80</v>
      </c>
      <c r="AK6" s="2" t="s">
        <v>882</v>
      </c>
      <c r="AL6" s="2" t="s">
        <v>82</v>
      </c>
      <c r="AM6" s="47" t="s">
        <v>84</v>
      </c>
      <c r="AN6" s="4">
        <v>623799447</v>
      </c>
      <c r="AO6" s="2" t="s">
        <v>77</v>
      </c>
      <c r="AP6" s="33" t="s">
        <v>51</v>
      </c>
      <c r="AQ6" s="203" t="s">
        <v>88</v>
      </c>
      <c r="AR6" s="6" t="s">
        <v>89</v>
      </c>
      <c r="AS6" s="108" t="s">
        <v>53</v>
      </c>
      <c r="AT6" s="105" t="str">
        <f t="shared" si="3"/>
        <v>CG</v>
      </c>
      <c r="AU6" s="109" t="str">
        <f t="shared" si="4"/>
        <v>B</v>
      </c>
      <c r="AV6" s="110" t="s">
        <v>359</v>
      </c>
      <c r="AW6" s="111" t="e">
        <f t="shared" si="5"/>
        <v>#DIV/0!</v>
      </c>
    </row>
    <row r="7" spans="1:49" ht="81.75" customHeight="1" thickBot="1" x14ac:dyDescent="0.4">
      <c r="A7" s="154">
        <v>6</v>
      </c>
      <c r="B7" s="2" t="s">
        <v>76</v>
      </c>
      <c r="C7" s="2" t="s">
        <v>54</v>
      </c>
      <c r="D7" s="14" t="s">
        <v>360</v>
      </c>
      <c r="E7" s="2"/>
      <c r="F7" s="7">
        <v>43292</v>
      </c>
      <c r="G7" s="7">
        <v>43313</v>
      </c>
      <c r="H7" s="27">
        <v>0</v>
      </c>
      <c r="I7" s="28">
        <v>0</v>
      </c>
      <c r="J7" s="29">
        <v>0</v>
      </c>
      <c r="K7" s="30">
        <v>0</v>
      </c>
      <c r="L7" s="31">
        <v>0</v>
      </c>
      <c r="M7" s="32">
        <v>0</v>
      </c>
      <c r="N7" s="149">
        <v>18</v>
      </c>
      <c r="O7" s="147">
        <v>4</v>
      </c>
      <c r="P7" s="19">
        <v>0</v>
      </c>
      <c r="Q7" s="35">
        <v>0</v>
      </c>
      <c r="R7" s="74">
        <f t="shared" si="0"/>
        <v>18</v>
      </c>
      <c r="S7" s="75">
        <f t="shared" si="0"/>
        <v>4</v>
      </c>
      <c r="T7" s="8">
        <f t="shared" si="1"/>
        <v>0.22222222222222221</v>
      </c>
      <c r="U7" s="9">
        <f t="shared" si="2"/>
        <v>22</v>
      </c>
      <c r="V7" s="3"/>
      <c r="W7" s="2"/>
      <c r="X7" s="2"/>
      <c r="Y7" s="2"/>
      <c r="Z7" s="2"/>
      <c r="AA7" s="2"/>
      <c r="AB7" s="2">
        <v>-1</v>
      </c>
      <c r="AC7" s="2"/>
      <c r="AD7" s="2"/>
      <c r="AE7" s="2"/>
      <c r="AF7" s="2" t="s">
        <v>65</v>
      </c>
      <c r="AG7" s="2"/>
      <c r="AH7" s="2" t="s">
        <v>78</v>
      </c>
      <c r="AI7" s="2"/>
      <c r="AJ7" s="212" t="s">
        <v>81</v>
      </c>
      <c r="AK7" s="2" t="s">
        <v>884</v>
      </c>
      <c r="AL7" s="2" t="s">
        <v>83</v>
      </c>
      <c r="AM7" s="48" t="s">
        <v>85</v>
      </c>
      <c r="AN7" s="4">
        <v>637828714</v>
      </c>
      <c r="AO7" s="2" t="s">
        <v>77</v>
      </c>
      <c r="AP7" s="33" t="s">
        <v>87</v>
      </c>
      <c r="AQ7" s="203"/>
      <c r="AR7" s="6"/>
      <c r="AS7" s="108" t="s">
        <v>53</v>
      </c>
      <c r="AT7" s="105" t="str">
        <f t="shared" si="3"/>
        <v>CUA</v>
      </c>
      <c r="AU7" s="109" t="str">
        <f t="shared" si="4"/>
        <v>A</v>
      </c>
      <c r="AV7" s="110" t="s">
        <v>359</v>
      </c>
      <c r="AW7" s="111" t="e">
        <f t="shared" si="5"/>
        <v>#DIV/0!</v>
      </c>
    </row>
    <row r="8" spans="1:49" ht="56.15" customHeight="1" thickBot="1" x14ac:dyDescent="0.4">
      <c r="A8" s="120">
        <v>7</v>
      </c>
      <c r="B8" s="2" t="s">
        <v>69</v>
      </c>
      <c r="C8" s="2" t="s">
        <v>54</v>
      </c>
      <c r="D8" s="2" t="s">
        <v>351</v>
      </c>
      <c r="E8" s="2" t="s">
        <v>90</v>
      </c>
      <c r="F8" s="7">
        <v>43291</v>
      </c>
      <c r="G8" s="7">
        <v>43311</v>
      </c>
      <c r="H8" s="128">
        <v>6</v>
      </c>
      <c r="I8" s="28">
        <v>2</v>
      </c>
      <c r="J8" s="124">
        <v>15</v>
      </c>
      <c r="K8" s="125">
        <v>4</v>
      </c>
      <c r="L8" s="135">
        <v>15</v>
      </c>
      <c r="M8" s="130">
        <v>6</v>
      </c>
      <c r="N8" s="17">
        <v>0</v>
      </c>
      <c r="O8" s="18">
        <v>0</v>
      </c>
      <c r="P8" s="19">
        <v>0</v>
      </c>
      <c r="Q8" s="200">
        <v>2</v>
      </c>
      <c r="R8" s="74">
        <f t="shared" si="0"/>
        <v>36</v>
      </c>
      <c r="S8" s="75">
        <f t="shared" si="0"/>
        <v>14</v>
      </c>
      <c r="T8" s="8">
        <f t="shared" si="1"/>
        <v>0.3888888888888889</v>
      </c>
      <c r="U8" s="9">
        <f t="shared" si="2"/>
        <v>50</v>
      </c>
      <c r="V8" s="3">
        <v>-4</v>
      </c>
      <c r="W8" s="2"/>
      <c r="X8" s="2">
        <v>-5</v>
      </c>
      <c r="Y8" s="2">
        <v>-1</v>
      </c>
      <c r="Z8" s="2">
        <v>-5</v>
      </c>
      <c r="AA8" s="2">
        <v>1</v>
      </c>
      <c r="AB8" s="2"/>
      <c r="AC8" s="2"/>
      <c r="AD8" s="2"/>
      <c r="AE8" s="2">
        <v>1</v>
      </c>
      <c r="AF8" s="6" t="s">
        <v>72</v>
      </c>
      <c r="AG8" s="2" t="s">
        <v>91</v>
      </c>
      <c r="AH8" s="2"/>
      <c r="AI8" s="2"/>
      <c r="AJ8" s="212" t="s">
        <v>92</v>
      </c>
      <c r="AK8" s="2" t="s">
        <v>883</v>
      </c>
      <c r="AL8" s="2" t="s">
        <v>93</v>
      </c>
      <c r="AM8" s="48" t="s">
        <v>94</v>
      </c>
      <c r="AN8" s="4">
        <v>758251193</v>
      </c>
      <c r="AO8" s="2" t="s">
        <v>55</v>
      </c>
      <c r="AP8" s="33" t="s">
        <v>51</v>
      </c>
      <c r="AQ8" s="203" t="s">
        <v>95</v>
      </c>
      <c r="AR8" s="6" t="s">
        <v>52</v>
      </c>
      <c r="AS8" s="108" t="s">
        <v>53</v>
      </c>
      <c r="AT8" s="105" t="str">
        <f t="shared" si="3"/>
        <v>CGG</v>
      </c>
      <c r="AU8" s="109" t="str">
        <f t="shared" si="4"/>
        <v>B</v>
      </c>
      <c r="AV8" s="110" t="s">
        <v>359</v>
      </c>
      <c r="AW8" s="111" t="e">
        <f t="shared" si="5"/>
        <v>#DIV/0!</v>
      </c>
    </row>
    <row r="9" spans="1:49" ht="56.15" customHeight="1" thickBot="1" x14ac:dyDescent="0.4">
      <c r="A9" s="120">
        <v>8</v>
      </c>
      <c r="B9" s="2" t="s">
        <v>96</v>
      </c>
      <c r="C9" s="2" t="s">
        <v>54</v>
      </c>
      <c r="D9" s="2" t="s">
        <v>64</v>
      </c>
      <c r="E9" s="2"/>
      <c r="F9" s="7">
        <v>43316</v>
      </c>
      <c r="G9" s="7">
        <v>43337</v>
      </c>
      <c r="H9" s="142">
        <v>2</v>
      </c>
      <c r="I9" s="139">
        <v>1</v>
      </c>
      <c r="J9" s="145">
        <v>5</v>
      </c>
      <c r="K9" s="143">
        <v>1</v>
      </c>
      <c r="L9" s="132">
        <v>8</v>
      </c>
      <c r="M9" s="136">
        <v>2</v>
      </c>
      <c r="N9" s="17">
        <v>0</v>
      </c>
      <c r="O9" s="18">
        <v>0</v>
      </c>
      <c r="P9" s="19">
        <v>0</v>
      </c>
      <c r="Q9" s="127">
        <v>2</v>
      </c>
      <c r="R9" s="74">
        <f t="shared" si="0"/>
        <v>15</v>
      </c>
      <c r="S9" s="75">
        <f t="shared" si="0"/>
        <v>6</v>
      </c>
      <c r="T9" s="8">
        <f t="shared" si="1"/>
        <v>0.4</v>
      </c>
      <c r="U9" s="9">
        <f t="shared" si="2"/>
        <v>21</v>
      </c>
      <c r="V9" s="3">
        <v>-1</v>
      </c>
      <c r="W9" s="2"/>
      <c r="X9" s="2">
        <v>-2</v>
      </c>
      <c r="Y9" s="2">
        <v>-1</v>
      </c>
      <c r="Z9" s="2">
        <v>-2</v>
      </c>
      <c r="AA9" s="2"/>
      <c r="AB9" s="2"/>
      <c r="AC9" s="2"/>
      <c r="AD9" s="2"/>
      <c r="AE9" s="2">
        <v>1</v>
      </c>
      <c r="AF9" s="6" t="s">
        <v>72</v>
      </c>
      <c r="AG9" s="2" t="s">
        <v>98</v>
      </c>
      <c r="AH9" s="2"/>
      <c r="AI9" s="2"/>
      <c r="AJ9" s="212">
        <v>86203</v>
      </c>
      <c r="AK9" s="2" t="s">
        <v>885</v>
      </c>
      <c r="AL9" s="2" t="s">
        <v>794</v>
      </c>
      <c r="AM9" s="48" t="s">
        <v>863</v>
      </c>
      <c r="AN9" s="4" t="s">
        <v>795</v>
      </c>
      <c r="AO9" s="2" t="s">
        <v>97</v>
      </c>
      <c r="AP9" s="33" t="s">
        <v>122</v>
      </c>
      <c r="AQ9" s="203" t="s">
        <v>99</v>
      </c>
      <c r="AR9" s="6" t="s">
        <v>100</v>
      </c>
      <c r="AS9" s="108" t="s">
        <v>53</v>
      </c>
      <c r="AT9" s="105" t="str">
        <f t="shared" si="3"/>
        <v>CG</v>
      </c>
      <c r="AU9" s="109" t="str">
        <f t="shared" si="4"/>
        <v>A</v>
      </c>
      <c r="AV9" s="110" t="s">
        <v>359</v>
      </c>
      <c r="AW9" s="111" t="e">
        <f t="shared" si="5"/>
        <v>#DIV/0!</v>
      </c>
    </row>
    <row r="10" spans="1:49" ht="58.5" customHeight="1" thickBot="1" x14ac:dyDescent="0.4">
      <c r="A10" s="120">
        <v>9</v>
      </c>
      <c r="B10" s="2" t="s">
        <v>101</v>
      </c>
      <c r="C10" s="2" t="s">
        <v>102</v>
      </c>
      <c r="D10" s="2" t="s">
        <v>351</v>
      </c>
      <c r="E10" s="2" t="s">
        <v>109</v>
      </c>
      <c r="F10" s="7">
        <v>43290</v>
      </c>
      <c r="G10" s="7">
        <v>43308</v>
      </c>
      <c r="H10" s="128">
        <v>4</v>
      </c>
      <c r="I10" s="28">
        <v>1</v>
      </c>
      <c r="J10" s="124">
        <v>13</v>
      </c>
      <c r="K10" s="30">
        <v>4</v>
      </c>
      <c r="L10" s="126">
        <v>32</v>
      </c>
      <c r="M10" s="130">
        <v>4</v>
      </c>
      <c r="N10" s="17">
        <v>0</v>
      </c>
      <c r="O10" s="18">
        <v>0</v>
      </c>
      <c r="P10" s="19">
        <v>0</v>
      </c>
      <c r="Q10" s="127">
        <v>3</v>
      </c>
      <c r="R10" s="74">
        <f t="shared" si="0"/>
        <v>49</v>
      </c>
      <c r="S10" s="75">
        <f t="shared" si="0"/>
        <v>12</v>
      </c>
      <c r="T10" s="8">
        <f t="shared" si="1"/>
        <v>0.24489795918367346</v>
      </c>
      <c r="U10" s="9">
        <f t="shared" si="2"/>
        <v>61</v>
      </c>
      <c r="V10" s="3">
        <v>-2</v>
      </c>
      <c r="W10" s="2">
        <v>0</v>
      </c>
      <c r="X10" s="2">
        <v>-7</v>
      </c>
      <c r="Y10" s="2">
        <v>0</v>
      </c>
      <c r="Z10" s="2">
        <v>6</v>
      </c>
      <c r="AA10" s="2">
        <v>1</v>
      </c>
      <c r="AB10" s="2">
        <v>0</v>
      </c>
      <c r="AC10" s="2">
        <v>0</v>
      </c>
      <c r="AD10" s="2">
        <v>0</v>
      </c>
      <c r="AE10" s="2">
        <v>3</v>
      </c>
      <c r="AF10" s="2" t="s">
        <v>65</v>
      </c>
      <c r="AG10" s="2" t="s">
        <v>104</v>
      </c>
      <c r="AH10" s="2"/>
      <c r="AI10" s="2"/>
      <c r="AJ10" s="212" t="s">
        <v>105</v>
      </c>
      <c r="AK10" s="2" t="s">
        <v>886</v>
      </c>
      <c r="AL10" s="2" t="s">
        <v>106</v>
      </c>
      <c r="AM10" s="48" t="s">
        <v>107</v>
      </c>
      <c r="AN10" s="11">
        <v>611775004</v>
      </c>
      <c r="AO10" s="2" t="s">
        <v>103</v>
      </c>
      <c r="AP10" s="78" t="s">
        <v>51</v>
      </c>
      <c r="AQ10" s="203" t="s">
        <v>108</v>
      </c>
      <c r="AR10" s="6" t="s">
        <v>54</v>
      </c>
      <c r="AS10" s="108" t="s">
        <v>53</v>
      </c>
      <c r="AT10" s="105" t="str">
        <f t="shared" si="3"/>
        <v>CGG</v>
      </c>
      <c r="AU10" s="109" t="str">
        <f t="shared" si="4"/>
        <v>B</v>
      </c>
      <c r="AV10" s="110" t="s">
        <v>359</v>
      </c>
      <c r="AW10" s="111" t="e">
        <f t="shared" si="5"/>
        <v>#DIV/0!</v>
      </c>
    </row>
    <row r="11" spans="1:49" s="25" customFormat="1" ht="56.15" customHeight="1" thickBot="1" x14ac:dyDescent="0.4">
      <c r="A11" s="195">
        <v>10</v>
      </c>
      <c r="B11" s="14" t="s">
        <v>110</v>
      </c>
      <c r="C11" s="14" t="s">
        <v>111</v>
      </c>
      <c r="D11" s="2" t="s">
        <v>64</v>
      </c>
      <c r="E11" s="14"/>
      <c r="F11" s="16">
        <v>43290</v>
      </c>
      <c r="G11" s="16">
        <v>43303</v>
      </c>
      <c r="H11" s="142">
        <v>5</v>
      </c>
      <c r="I11" s="139">
        <v>2</v>
      </c>
      <c r="J11" s="145">
        <v>14</v>
      </c>
      <c r="K11" s="134">
        <v>4</v>
      </c>
      <c r="L11" s="132">
        <v>10</v>
      </c>
      <c r="M11" s="136">
        <v>3</v>
      </c>
      <c r="N11" s="17">
        <v>0</v>
      </c>
      <c r="O11" s="18">
        <v>0</v>
      </c>
      <c r="P11" s="19">
        <v>0</v>
      </c>
      <c r="Q11" s="138">
        <v>2</v>
      </c>
      <c r="R11" s="74">
        <f t="shared" si="0"/>
        <v>29</v>
      </c>
      <c r="S11" s="20">
        <f t="shared" si="0"/>
        <v>11</v>
      </c>
      <c r="T11" s="21">
        <f t="shared" si="1"/>
        <v>0.37931034482758619</v>
      </c>
      <c r="U11" s="22">
        <f t="shared" si="2"/>
        <v>40</v>
      </c>
      <c r="V11" s="23">
        <v>-1</v>
      </c>
      <c r="W11" s="14"/>
      <c r="X11" s="14">
        <v>-1</v>
      </c>
      <c r="Y11" s="14"/>
      <c r="Z11" s="14">
        <v>-3</v>
      </c>
      <c r="AA11" s="14"/>
      <c r="AB11" s="14"/>
      <c r="AC11" s="14"/>
      <c r="AD11" s="14"/>
      <c r="AE11" s="14"/>
      <c r="AF11" s="2" t="s">
        <v>65</v>
      </c>
      <c r="AG11" s="24" t="s">
        <v>114</v>
      </c>
      <c r="AH11" s="24"/>
      <c r="AI11" s="24"/>
      <c r="AJ11" s="34" t="s">
        <v>115</v>
      </c>
      <c r="AK11" s="24" t="s">
        <v>883</v>
      </c>
      <c r="AL11" s="24" t="s">
        <v>116</v>
      </c>
      <c r="AM11" s="46" t="s">
        <v>117</v>
      </c>
      <c r="AN11" s="26">
        <v>788218134</v>
      </c>
      <c r="AO11" s="24" t="s">
        <v>112</v>
      </c>
      <c r="AP11" s="34" t="s">
        <v>51</v>
      </c>
      <c r="AQ11" s="204" t="s">
        <v>118</v>
      </c>
      <c r="AR11" s="24" t="s">
        <v>119</v>
      </c>
      <c r="AS11" s="112" t="s">
        <v>53</v>
      </c>
      <c r="AT11" s="105" t="str">
        <f t="shared" si="3"/>
        <v>CG</v>
      </c>
      <c r="AU11" s="109" t="str">
        <f t="shared" si="4"/>
        <v>B</v>
      </c>
      <c r="AV11" s="110" t="s">
        <v>359</v>
      </c>
      <c r="AW11" s="111" t="e">
        <f t="shared" si="5"/>
        <v>#DIV/0!</v>
      </c>
    </row>
    <row r="12" spans="1:49" ht="56.15" customHeight="1" thickBot="1" x14ac:dyDescent="0.4">
      <c r="A12" s="120">
        <v>11</v>
      </c>
      <c r="B12" s="2" t="s">
        <v>120</v>
      </c>
      <c r="C12" s="2" t="s">
        <v>111</v>
      </c>
      <c r="D12" s="2" t="s">
        <v>64</v>
      </c>
      <c r="E12" s="2"/>
      <c r="F12" s="7">
        <v>43317</v>
      </c>
      <c r="G12" s="7">
        <v>43331</v>
      </c>
      <c r="H12" s="27">
        <v>0</v>
      </c>
      <c r="I12" s="28">
        <v>0</v>
      </c>
      <c r="J12" s="29">
        <v>0</v>
      </c>
      <c r="K12" s="30">
        <v>0</v>
      </c>
      <c r="L12" s="132">
        <v>19</v>
      </c>
      <c r="M12" s="130">
        <v>3</v>
      </c>
      <c r="N12" s="146">
        <v>7</v>
      </c>
      <c r="O12" s="147">
        <v>1</v>
      </c>
      <c r="P12" s="19">
        <v>0</v>
      </c>
      <c r="Q12" s="35">
        <v>0</v>
      </c>
      <c r="R12" s="74">
        <f t="shared" si="0"/>
        <v>26</v>
      </c>
      <c r="S12" s="75">
        <f t="shared" si="0"/>
        <v>4</v>
      </c>
      <c r="T12" s="8">
        <f t="shared" si="1"/>
        <v>0.15384615384615385</v>
      </c>
      <c r="U12" s="9">
        <f t="shared" si="2"/>
        <v>30</v>
      </c>
      <c r="V12" s="3"/>
      <c r="W12" s="2"/>
      <c r="X12" s="2"/>
      <c r="Y12" s="2"/>
      <c r="Z12" s="2">
        <v>-4</v>
      </c>
      <c r="AA12" s="2">
        <v>1</v>
      </c>
      <c r="AB12" s="2">
        <v>2</v>
      </c>
      <c r="AC12" s="2"/>
      <c r="AD12" s="2"/>
      <c r="AE12" s="2"/>
      <c r="AF12" s="2" t="s">
        <v>65</v>
      </c>
      <c r="AG12" s="6" t="s">
        <v>121</v>
      </c>
      <c r="AH12" s="6"/>
      <c r="AI12" s="6"/>
      <c r="AJ12" s="33" t="s">
        <v>137</v>
      </c>
      <c r="AK12" s="6" t="s">
        <v>890</v>
      </c>
      <c r="AL12" s="6" t="s">
        <v>112</v>
      </c>
      <c r="AM12" s="48" t="s">
        <v>113</v>
      </c>
      <c r="AN12" s="11">
        <v>680709339</v>
      </c>
      <c r="AO12" s="6" t="s">
        <v>112</v>
      </c>
      <c r="AP12" s="33" t="s">
        <v>122</v>
      </c>
      <c r="AQ12" s="203" t="s">
        <v>123</v>
      </c>
      <c r="AR12" s="6" t="s">
        <v>124</v>
      </c>
      <c r="AS12" s="108" t="s">
        <v>53</v>
      </c>
      <c r="AT12" s="105" t="str">
        <f t="shared" si="3"/>
        <v>CG</v>
      </c>
      <c r="AU12" s="109" t="str">
        <f t="shared" si="4"/>
        <v>B</v>
      </c>
      <c r="AV12" s="110" t="s">
        <v>359</v>
      </c>
      <c r="AW12" s="111" t="e">
        <f t="shared" si="5"/>
        <v>#DIV/0!</v>
      </c>
    </row>
    <row r="13" spans="1:49" s="25" customFormat="1" ht="56.15" customHeight="1" thickBot="1" x14ac:dyDescent="0.4">
      <c r="A13" s="195">
        <v>12</v>
      </c>
      <c r="B13" s="14" t="s">
        <v>125</v>
      </c>
      <c r="C13" s="14" t="s">
        <v>111</v>
      </c>
      <c r="D13" s="2" t="s">
        <v>64</v>
      </c>
      <c r="E13" s="14"/>
      <c r="F13" s="16">
        <v>43289</v>
      </c>
      <c r="G13" s="16">
        <v>43303</v>
      </c>
      <c r="H13" s="152">
        <v>10</v>
      </c>
      <c r="I13" s="168">
        <v>2</v>
      </c>
      <c r="J13" s="129">
        <v>16</v>
      </c>
      <c r="K13" s="131">
        <v>4</v>
      </c>
      <c r="L13" s="166">
        <v>20</v>
      </c>
      <c r="M13" s="136">
        <v>3</v>
      </c>
      <c r="N13" s="17">
        <v>0</v>
      </c>
      <c r="O13" s="18">
        <v>0</v>
      </c>
      <c r="P13" s="19">
        <v>0</v>
      </c>
      <c r="Q13" s="138">
        <v>3</v>
      </c>
      <c r="R13" s="74">
        <f t="shared" si="0"/>
        <v>46</v>
      </c>
      <c r="S13" s="20">
        <f t="shared" si="0"/>
        <v>12</v>
      </c>
      <c r="T13" s="21">
        <f t="shared" si="1"/>
        <v>0.2608695652173913</v>
      </c>
      <c r="U13" s="22">
        <f t="shared" si="2"/>
        <v>58</v>
      </c>
      <c r="V13" s="23"/>
      <c r="W13" s="14">
        <v>-1</v>
      </c>
      <c r="X13" s="14">
        <v>1</v>
      </c>
      <c r="Y13" s="14">
        <v>1</v>
      </c>
      <c r="Z13" s="14"/>
      <c r="AA13" s="14"/>
      <c r="AB13" s="14"/>
      <c r="AC13" s="14"/>
      <c r="AD13" s="14"/>
      <c r="AE13" s="14"/>
      <c r="AF13" s="2" t="s">
        <v>65</v>
      </c>
      <c r="AG13" s="14" t="s">
        <v>126</v>
      </c>
      <c r="AH13" s="14"/>
      <c r="AI13" s="14"/>
      <c r="AJ13" s="213" t="s">
        <v>127</v>
      </c>
      <c r="AK13" s="14" t="s">
        <v>883</v>
      </c>
      <c r="AL13" s="14" t="s">
        <v>128</v>
      </c>
      <c r="AM13" s="48" t="s">
        <v>129</v>
      </c>
      <c r="AN13" s="15">
        <v>636804514</v>
      </c>
      <c r="AO13" s="6" t="s">
        <v>112</v>
      </c>
      <c r="AP13" s="34" t="s">
        <v>51</v>
      </c>
      <c r="AQ13" s="204" t="s">
        <v>130</v>
      </c>
      <c r="AR13" s="24" t="s">
        <v>131</v>
      </c>
      <c r="AS13" s="112" t="s">
        <v>53</v>
      </c>
      <c r="AT13" s="105" t="str">
        <f t="shared" si="3"/>
        <v>CG</v>
      </c>
      <c r="AU13" s="109" t="str">
        <f t="shared" si="4"/>
        <v>B</v>
      </c>
      <c r="AV13" s="110" t="s">
        <v>359</v>
      </c>
      <c r="AW13" s="111" t="e">
        <f t="shared" si="5"/>
        <v>#DIV/0!</v>
      </c>
    </row>
    <row r="14" spans="1:49" s="25" customFormat="1" ht="76.5" customHeight="1" thickBot="1" x14ac:dyDescent="0.4">
      <c r="A14" s="195">
        <v>13</v>
      </c>
      <c r="B14" s="14" t="s">
        <v>132</v>
      </c>
      <c r="C14" s="14" t="s">
        <v>111</v>
      </c>
      <c r="D14" s="14" t="s">
        <v>360</v>
      </c>
      <c r="E14" s="14"/>
      <c r="F14" s="16">
        <v>43316</v>
      </c>
      <c r="G14" s="16">
        <v>43332</v>
      </c>
      <c r="H14" s="27">
        <v>0</v>
      </c>
      <c r="I14" s="28">
        <v>0</v>
      </c>
      <c r="J14" s="29">
        <v>0</v>
      </c>
      <c r="K14" s="30">
        <v>0</v>
      </c>
      <c r="L14" s="31">
        <v>0</v>
      </c>
      <c r="M14" s="32">
        <v>0</v>
      </c>
      <c r="N14" s="153">
        <v>12</v>
      </c>
      <c r="O14" s="147">
        <v>2</v>
      </c>
      <c r="P14" s="19">
        <v>0</v>
      </c>
      <c r="Q14" s="35">
        <v>2</v>
      </c>
      <c r="R14" s="74">
        <f>H14+J14+L14+N14+P14</f>
        <v>12</v>
      </c>
      <c r="S14" s="20">
        <f>I14+K14+M14+O14+Q14</f>
        <v>4</v>
      </c>
      <c r="T14" s="21">
        <f>S14/R14</f>
        <v>0.33333333333333331</v>
      </c>
      <c r="U14" s="22">
        <f>R14+S14</f>
        <v>16</v>
      </c>
      <c r="V14" s="23"/>
      <c r="W14" s="14"/>
      <c r="X14" s="14"/>
      <c r="Y14" s="14"/>
      <c r="Z14" s="14"/>
      <c r="AA14" s="14"/>
      <c r="AB14" s="14"/>
      <c r="AC14" s="14"/>
      <c r="AD14" s="14"/>
      <c r="AE14" s="14"/>
      <c r="AF14" s="24" t="s">
        <v>133</v>
      </c>
      <c r="AG14" s="24" t="s">
        <v>134</v>
      </c>
      <c r="AH14" s="24" t="s">
        <v>135</v>
      </c>
      <c r="AI14" s="24"/>
      <c r="AJ14" s="34">
        <v>12131</v>
      </c>
      <c r="AK14" s="24" t="s">
        <v>881</v>
      </c>
      <c r="AL14" s="24" t="s">
        <v>877</v>
      </c>
      <c r="AM14" s="46" t="s">
        <v>878</v>
      </c>
      <c r="AN14" s="26">
        <v>621291640</v>
      </c>
      <c r="AO14" s="6" t="s">
        <v>112</v>
      </c>
      <c r="AP14" s="34" t="s">
        <v>122</v>
      </c>
      <c r="AQ14" s="204"/>
      <c r="AR14" s="24" t="s">
        <v>136</v>
      </c>
      <c r="AS14" s="112" t="s">
        <v>53</v>
      </c>
      <c r="AT14" s="105" t="str">
        <f t="shared" si="3"/>
        <v>CUA</v>
      </c>
      <c r="AU14" s="109" t="str">
        <f t="shared" si="4"/>
        <v>A</v>
      </c>
      <c r="AV14" s="110" t="s">
        <v>359</v>
      </c>
      <c r="AW14" s="111" t="e">
        <f>BV14/BW14</f>
        <v>#DIV/0!</v>
      </c>
    </row>
    <row r="15" spans="1:49" ht="56.15" customHeight="1" thickBot="1" x14ac:dyDescent="0.4">
      <c r="A15" s="120">
        <v>14</v>
      </c>
      <c r="B15" s="2" t="s">
        <v>120</v>
      </c>
      <c r="C15" s="2" t="s">
        <v>111</v>
      </c>
      <c r="D15" s="2" t="s">
        <v>64</v>
      </c>
      <c r="E15" s="2"/>
      <c r="F15" s="7">
        <v>43317</v>
      </c>
      <c r="G15" s="7">
        <v>43331</v>
      </c>
      <c r="H15" s="142">
        <v>3</v>
      </c>
      <c r="I15" s="139">
        <v>0</v>
      </c>
      <c r="J15" s="150">
        <v>11</v>
      </c>
      <c r="K15" s="134">
        <v>2</v>
      </c>
      <c r="L15" s="31">
        <v>0</v>
      </c>
      <c r="M15" s="32">
        <v>0</v>
      </c>
      <c r="N15" s="17">
        <v>0</v>
      </c>
      <c r="O15" s="18">
        <v>0</v>
      </c>
      <c r="P15" s="19">
        <v>0</v>
      </c>
      <c r="Q15" s="138">
        <v>1</v>
      </c>
      <c r="R15" s="74">
        <f t="shared" si="0"/>
        <v>14</v>
      </c>
      <c r="S15" s="75">
        <f t="shared" si="0"/>
        <v>3</v>
      </c>
      <c r="T15" s="8">
        <f t="shared" si="1"/>
        <v>0.21428571428571427</v>
      </c>
      <c r="U15" s="9">
        <f t="shared" si="2"/>
        <v>17</v>
      </c>
      <c r="V15" s="3">
        <v>-1</v>
      </c>
      <c r="W15" s="2"/>
      <c r="X15" s="2"/>
      <c r="Y15" s="2"/>
      <c r="Z15" s="2"/>
      <c r="AA15" s="2"/>
      <c r="AB15" s="2"/>
      <c r="AC15" s="2"/>
      <c r="AD15" s="2"/>
      <c r="AE15" s="2"/>
      <c r="AF15" s="2" t="s">
        <v>65</v>
      </c>
      <c r="AG15" s="6" t="s">
        <v>121</v>
      </c>
      <c r="AH15" s="6"/>
      <c r="AI15" s="6"/>
      <c r="AJ15" s="33" t="s">
        <v>137</v>
      </c>
      <c r="AK15" s="6" t="s">
        <v>890</v>
      </c>
      <c r="AL15" s="6" t="s">
        <v>139</v>
      </c>
      <c r="AM15" s="49" t="s">
        <v>138</v>
      </c>
      <c r="AN15" s="11">
        <v>630550147</v>
      </c>
      <c r="AO15" s="6" t="s">
        <v>112</v>
      </c>
      <c r="AP15" s="33" t="s">
        <v>122</v>
      </c>
      <c r="AQ15" s="203" t="s">
        <v>123</v>
      </c>
      <c r="AR15" s="6" t="s">
        <v>124</v>
      </c>
      <c r="AS15" s="108" t="s">
        <v>53</v>
      </c>
      <c r="AT15" s="105" t="str">
        <f t="shared" si="3"/>
        <v>CG</v>
      </c>
      <c r="AU15" s="109" t="str">
        <f t="shared" si="4"/>
        <v>A</v>
      </c>
      <c r="AV15" s="110" t="s">
        <v>359</v>
      </c>
      <c r="AW15" s="111" t="e">
        <f t="shared" si="5"/>
        <v>#DIV/0!</v>
      </c>
    </row>
    <row r="16" spans="1:49" ht="56.15" customHeight="1" thickBot="1" x14ac:dyDescent="0.4">
      <c r="A16" s="120">
        <v>15</v>
      </c>
      <c r="B16" s="2" t="s">
        <v>132</v>
      </c>
      <c r="C16" s="2" t="s">
        <v>111</v>
      </c>
      <c r="D16" s="2" t="s">
        <v>351</v>
      </c>
      <c r="E16" s="2" t="s">
        <v>141</v>
      </c>
      <c r="F16" s="7">
        <v>43292</v>
      </c>
      <c r="G16" s="7">
        <v>43308</v>
      </c>
      <c r="H16" s="152">
        <v>3</v>
      </c>
      <c r="I16" s="139">
        <v>1</v>
      </c>
      <c r="J16" s="129">
        <v>24</v>
      </c>
      <c r="K16" s="134">
        <v>6</v>
      </c>
      <c r="L16" s="166">
        <v>25</v>
      </c>
      <c r="M16" s="136">
        <v>7</v>
      </c>
      <c r="N16" s="153">
        <v>10</v>
      </c>
      <c r="O16" s="147">
        <v>3</v>
      </c>
      <c r="P16" s="165">
        <v>0</v>
      </c>
      <c r="Q16" s="138">
        <v>3</v>
      </c>
      <c r="R16" s="74">
        <f t="shared" si="0"/>
        <v>62</v>
      </c>
      <c r="S16" s="75">
        <f t="shared" si="0"/>
        <v>20</v>
      </c>
      <c r="T16" s="8">
        <f t="shared" si="1"/>
        <v>0.32258064516129031</v>
      </c>
      <c r="U16" s="9">
        <f t="shared" si="2"/>
        <v>82</v>
      </c>
      <c r="V16" s="3"/>
      <c r="W16" s="2"/>
      <c r="X16" s="2">
        <v>7</v>
      </c>
      <c r="Y16" s="2"/>
      <c r="Z16" s="2"/>
      <c r="AA16" s="2"/>
      <c r="AB16" s="2"/>
      <c r="AC16" s="2"/>
      <c r="AD16" s="2"/>
      <c r="AE16" s="2"/>
      <c r="AF16" s="2" t="s">
        <v>65</v>
      </c>
      <c r="AG16" s="6" t="s">
        <v>142</v>
      </c>
      <c r="AH16" s="6"/>
      <c r="AI16" s="6" t="s">
        <v>50</v>
      </c>
      <c r="AJ16" s="33">
        <v>37132</v>
      </c>
      <c r="AK16" s="6" t="s">
        <v>885</v>
      </c>
      <c r="AL16" s="6" t="s">
        <v>143</v>
      </c>
      <c r="AM16" s="46" t="s">
        <v>144</v>
      </c>
      <c r="AN16" s="11">
        <v>608709956</v>
      </c>
      <c r="AO16" s="6" t="s">
        <v>140</v>
      </c>
      <c r="AP16" s="33" t="s">
        <v>51</v>
      </c>
      <c r="AQ16" s="203" t="s">
        <v>145</v>
      </c>
      <c r="AR16" s="6" t="s">
        <v>102</v>
      </c>
      <c r="AS16" s="108" t="s">
        <v>53</v>
      </c>
      <c r="AT16" s="105" t="str">
        <f t="shared" si="3"/>
        <v>CGG</v>
      </c>
      <c r="AU16" s="109" t="str">
        <f t="shared" si="4"/>
        <v>C</v>
      </c>
      <c r="AV16" s="110" t="s">
        <v>359</v>
      </c>
      <c r="AW16" s="111" t="e">
        <f t="shared" si="5"/>
        <v>#DIV/0!</v>
      </c>
    </row>
    <row r="17" spans="1:49" ht="56.15" customHeight="1" thickBot="1" x14ac:dyDescent="0.4">
      <c r="A17" s="72">
        <v>16</v>
      </c>
      <c r="B17" s="2" t="s">
        <v>146</v>
      </c>
      <c r="C17" s="2" t="s">
        <v>111</v>
      </c>
      <c r="D17" s="2" t="s">
        <v>293</v>
      </c>
      <c r="E17" s="2" t="s">
        <v>147</v>
      </c>
      <c r="F17" s="7">
        <v>43311</v>
      </c>
      <c r="G17" s="7">
        <v>43324</v>
      </c>
      <c r="H17" s="27">
        <v>0</v>
      </c>
      <c r="I17" s="28">
        <v>0</v>
      </c>
      <c r="J17" s="29">
        <v>0</v>
      </c>
      <c r="K17" s="30">
        <v>0</v>
      </c>
      <c r="L17" s="31">
        <v>40</v>
      </c>
      <c r="M17" s="32">
        <v>6</v>
      </c>
      <c r="N17" s="17">
        <v>0</v>
      </c>
      <c r="O17" s="18">
        <v>0</v>
      </c>
      <c r="P17" s="19">
        <v>0</v>
      </c>
      <c r="Q17" s="35">
        <v>0</v>
      </c>
      <c r="R17" s="74">
        <f t="shared" si="0"/>
        <v>40</v>
      </c>
      <c r="S17" s="75">
        <f t="shared" si="0"/>
        <v>6</v>
      </c>
      <c r="T17" s="8">
        <f t="shared" si="1"/>
        <v>0.15</v>
      </c>
      <c r="U17" s="9">
        <f t="shared" si="2"/>
        <v>46</v>
      </c>
      <c r="V17" s="3"/>
      <c r="W17" s="2"/>
      <c r="X17" s="2"/>
      <c r="Y17" s="2"/>
      <c r="Z17" s="2"/>
      <c r="AA17" s="2"/>
      <c r="AB17" s="2"/>
      <c r="AC17" s="2"/>
      <c r="AD17" s="2"/>
      <c r="AE17" s="2"/>
      <c r="AF17" s="2" t="s">
        <v>148</v>
      </c>
      <c r="AG17" s="6" t="s">
        <v>149</v>
      </c>
      <c r="AH17" s="6"/>
      <c r="AI17" s="6"/>
      <c r="AJ17" s="33" t="s">
        <v>923</v>
      </c>
      <c r="AK17" s="6" t="s">
        <v>881</v>
      </c>
      <c r="AL17" s="6" t="s">
        <v>150</v>
      </c>
      <c r="AM17" s="46" t="s">
        <v>151</v>
      </c>
      <c r="AN17" s="11">
        <v>645824037</v>
      </c>
      <c r="AO17" s="6" t="s">
        <v>112</v>
      </c>
      <c r="AP17" s="33" t="s">
        <v>87</v>
      </c>
      <c r="AQ17" s="203" t="s">
        <v>152</v>
      </c>
      <c r="AR17" s="6" t="s">
        <v>153</v>
      </c>
      <c r="AS17" s="108" t="s">
        <v>154</v>
      </c>
      <c r="AT17" s="105" t="str">
        <f t="shared" si="3"/>
        <v>CRGUE</v>
      </c>
      <c r="AU17" s="109" t="str">
        <f t="shared" si="4"/>
        <v>B</v>
      </c>
      <c r="AV17" s="110" t="s">
        <v>359</v>
      </c>
      <c r="AW17" s="111" t="e">
        <f t="shared" si="5"/>
        <v>#DIV/0!</v>
      </c>
    </row>
    <row r="18" spans="1:49" ht="56.15" customHeight="1" thickBot="1" x14ac:dyDescent="0.4">
      <c r="A18" s="72">
        <v>17</v>
      </c>
      <c r="B18" s="2" t="s">
        <v>146</v>
      </c>
      <c r="C18" s="2" t="s">
        <v>111</v>
      </c>
      <c r="D18" s="2" t="s">
        <v>351</v>
      </c>
      <c r="E18" s="2" t="s">
        <v>147</v>
      </c>
      <c r="F18" s="7">
        <v>43289</v>
      </c>
      <c r="G18" s="7">
        <v>43301</v>
      </c>
      <c r="H18" s="27">
        <v>0</v>
      </c>
      <c r="I18" s="28">
        <v>0</v>
      </c>
      <c r="J18" s="29">
        <v>20</v>
      </c>
      <c r="K18" s="30">
        <v>3</v>
      </c>
      <c r="L18" s="31">
        <v>20</v>
      </c>
      <c r="M18" s="32">
        <v>3</v>
      </c>
      <c r="N18" s="17">
        <v>20</v>
      </c>
      <c r="O18" s="18">
        <v>3</v>
      </c>
      <c r="P18" s="19">
        <v>0</v>
      </c>
      <c r="Q18" s="35">
        <v>0</v>
      </c>
      <c r="R18" s="74">
        <f t="shared" si="0"/>
        <v>60</v>
      </c>
      <c r="S18" s="75">
        <f t="shared" si="0"/>
        <v>9</v>
      </c>
      <c r="T18" s="8">
        <f t="shared" si="1"/>
        <v>0.15</v>
      </c>
      <c r="U18" s="9">
        <f t="shared" si="2"/>
        <v>69</v>
      </c>
      <c r="V18" s="3"/>
      <c r="W18" s="2"/>
      <c r="X18" s="2"/>
      <c r="Y18" s="2"/>
      <c r="Z18" s="2"/>
      <c r="AA18" s="2"/>
      <c r="AB18" s="2"/>
      <c r="AC18" s="2"/>
      <c r="AD18" s="2"/>
      <c r="AE18" s="2"/>
      <c r="AF18" s="2" t="s">
        <v>148</v>
      </c>
      <c r="AG18" s="6" t="s">
        <v>149</v>
      </c>
      <c r="AH18" s="6"/>
      <c r="AI18" s="6"/>
      <c r="AJ18" s="33" t="s">
        <v>923</v>
      </c>
      <c r="AK18" s="6" t="s">
        <v>881</v>
      </c>
      <c r="AL18" s="6" t="s">
        <v>155</v>
      </c>
      <c r="AM18" s="49" t="s">
        <v>156</v>
      </c>
      <c r="AN18" s="11">
        <v>659201183</v>
      </c>
      <c r="AO18" s="6" t="s">
        <v>112</v>
      </c>
      <c r="AP18" s="33" t="s">
        <v>51</v>
      </c>
      <c r="AQ18" s="203" t="s">
        <v>152</v>
      </c>
      <c r="AR18" s="6" t="s">
        <v>153</v>
      </c>
      <c r="AS18" s="108" t="s">
        <v>154</v>
      </c>
      <c r="AT18" s="105" t="str">
        <f t="shared" si="3"/>
        <v>CGG</v>
      </c>
      <c r="AU18" s="109" t="str">
        <f t="shared" si="4"/>
        <v>C</v>
      </c>
      <c r="AV18" s="110" t="s">
        <v>359</v>
      </c>
      <c r="AW18" s="111" t="e">
        <f t="shared" si="5"/>
        <v>#DIV/0!</v>
      </c>
    </row>
    <row r="19" spans="1:49" ht="56.15" customHeight="1" thickBot="1" x14ac:dyDescent="0.4">
      <c r="A19" s="72">
        <v>18</v>
      </c>
      <c r="B19" s="2" t="s">
        <v>146</v>
      </c>
      <c r="C19" s="2" t="s">
        <v>111</v>
      </c>
      <c r="D19" s="2" t="s">
        <v>351</v>
      </c>
      <c r="E19" s="2" t="s">
        <v>147</v>
      </c>
      <c r="F19" s="7">
        <v>43289</v>
      </c>
      <c r="G19" s="7">
        <v>43294</v>
      </c>
      <c r="H19" s="27">
        <v>20</v>
      </c>
      <c r="I19" s="28">
        <v>3</v>
      </c>
      <c r="J19" s="29">
        <v>20</v>
      </c>
      <c r="K19" s="30">
        <v>3</v>
      </c>
      <c r="L19" s="31">
        <v>0</v>
      </c>
      <c r="M19" s="32">
        <v>0</v>
      </c>
      <c r="N19" s="17">
        <v>0</v>
      </c>
      <c r="O19" s="18">
        <v>0</v>
      </c>
      <c r="P19" s="19">
        <v>0</v>
      </c>
      <c r="Q19" s="35">
        <v>0</v>
      </c>
      <c r="R19" s="74">
        <f t="shared" si="0"/>
        <v>40</v>
      </c>
      <c r="S19" s="75">
        <f t="shared" si="0"/>
        <v>6</v>
      </c>
      <c r="T19" s="8">
        <f t="shared" si="1"/>
        <v>0.15</v>
      </c>
      <c r="U19" s="9">
        <f t="shared" si="2"/>
        <v>46</v>
      </c>
      <c r="V19" s="3"/>
      <c r="W19" s="2"/>
      <c r="X19" s="2"/>
      <c r="Y19" s="2"/>
      <c r="Z19" s="2"/>
      <c r="AA19" s="2"/>
      <c r="AB19" s="2"/>
      <c r="AC19" s="2"/>
      <c r="AD19" s="2"/>
      <c r="AE19" s="2"/>
      <c r="AF19" s="2" t="s">
        <v>148</v>
      </c>
      <c r="AG19" s="6" t="s">
        <v>149</v>
      </c>
      <c r="AH19" s="6"/>
      <c r="AI19" s="6"/>
      <c r="AJ19" s="33" t="s">
        <v>923</v>
      </c>
      <c r="AK19" s="6" t="s">
        <v>881</v>
      </c>
      <c r="AL19" s="6" t="s">
        <v>157</v>
      </c>
      <c r="AM19" s="46" t="s">
        <v>158</v>
      </c>
      <c r="AN19" s="11">
        <v>633819880</v>
      </c>
      <c r="AO19" s="6" t="s">
        <v>112</v>
      </c>
      <c r="AP19" s="33" t="s">
        <v>51</v>
      </c>
      <c r="AQ19" s="203" t="s">
        <v>152</v>
      </c>
      <c r="AR19" s="6" t="s">
        <v>153</v>
      </c>
      <c r="AS19" s="108" t="s">
        <v>154</v>
      </c>
      <c r="AT19" s="105" t="str">
        <f t="shared" si="3"/>
        <v>CGG</v>
      </c>
      <c r="AU19" s="109" t="str">
        <f t="shared" si="4"/>
        <v>B</v>
      </c>
      <c r="AV19" s="110" t="s">
        <v>359</v>
      </c>
      <c r="AW19" s="111" t="e">
        <f t="shared" si="5"/>
        <v>#DIV/0!</v>
      </c>
    </row>
    <row r="20" spans="1:49" ht="56.15" customHeight="1" thickBot="1" x14ac:dyDescent="0.4">
      <c r="A20" s="72">
        <v>19</v>
      </c>
      <c r="B20" s="2" t="s">
        <v>146</v>
      </c>
      <c r="C20" s="2" t="s">
        <v>111</v>
      </c>
      <c r="D20" s="2" t="s">
        <v>351</v>
      </c>
      <c r="E20" s="2" t="s">
        <v>147</v>
      </c>
      <c r="F20" s="7">
        <v>43309</v>
      </c>
      <c r="G20" s="7">
        <v>43315</v>
      </c>
      <c r="H20" s="27">
        <v>0</v>
      </c>
      <c r="I20" s="28">
        <v>0</v>
      </c>
      <c r="J20" s="29">
        <v>20</v>
      </c>
      <c r="K20" s="30">
        <v>3</v>
      </c>
      <c r="L20" s="31">
        <v>20</v>
      </c>
      <c r="M20" s="32">
        <v>3</v>
      </c>
      <c r="N20" s="17">
        <v>0</v>
      </c>
      <c r="O20" s="18">
        <v>0</v>
      </c>
      <c r="P20" s="19">
        <v>0</v>
      </c>
      <c r="Q20" s="35">
        <v>0</v>
      </c>
      <c r="R20" s="74">
        <f t="shared" si="0"/>
        <v>40</v>
      </c>
      <c r="S20" s="75">
        <f t="shared" si="0"/>
        <v>6</v>
      </c>
      <c r="T20" s="8">
        <f t="shared" si="1"/>
        <v>0.15</v>
      </c>
      <c r="U20" s="9">
        <f t="shared" si="2"/>
        <v>46</v>
      </c>
      <c r="V20" s="3"/>
      <c r="W20" s="2"/>
      <c r="X20" s="2"/>
      <c r="Y20" s="2"/>
      <c r="Z20" s="2"/>
      <c r="AA20" s="2"/>
      <c r="AB20" s="2"/>
      <c r="AC20" s="2"/>
      <c r="AD20" s="2"/>
      <c r="AE20" s="2"/>
      <c r="AF20" s="2" t="s">
        <v>148</v>
      </c>
      <c r="AG20" s="6" t="s">
        <v>149</v>
      </c>
      <c r="AH20" s="6"/>
      <c r="AI20" s="6"/>
      <c r="AJ20" s="33" t="s">
        <v>923</v>
      </c>
      <c r="AK20" s="6" t="s">
        <v>881</v>
      </c>
      <c r="AL20" s="6" t="s">
        <v>159</v>
      </c>
      <c r="AM20" s="49" t="s">
        <v>160</v>
      </c>
      <c r="AN20" s="11">
        <v>769355118</v>
      </c>
      <c r="AO20" s="6" t="s">
        <v>112</v>
      </c>
      <c r="AP20" s="33" t="s">
        <v>87</v>
      </c>
      <c r="AQ20" s="203" t="s">
        <v>152</v>
      </c>
      <c r="AR20" s="6" t="s">
        <v>153</v>
      </c>
      <c r="AS20" s="108" t="s">
        <v>154</v>
      </c>
      <c r="AT20" s="105" t="str">
        <f t="shared" si="3"/>
        <v>CGG</v>
      </c>
      <c r="AU20" s="109" t="str">
        <f t="shared" si="4"/>
        <v>B</v>
      </c>
      <c r="AV20" s="110" t="s">
        <v>359</v>
      </c>
      <c r="AW20" s="111" t="e">
        <f t="shared" si="5"/>
        <v>#DIV/0!</v>
      </c>
    </row>
    <row r="21" spans="1:49" ht="56.15" customHeight="1" thickBot="1" x14ac:dyDescent="0.4">
      <c r="A21" s="120">
        <v>20</v>
      </c>
      <c r="B21" s="2" t="s">
        <v>161</v>
      </c>
      <c r="C21" s="2" t="s">
        <v>111</v>
      </c>
      <c r="D21" s="2" t="s">
        <v>64</v>
      </c>
      <c r="E21" s="7"/>
      <c r="F21" s="7">
        <v>43290</v>
      </c>
      <c r="G21" s="7">
        <v>43308</v>
      </c>
      <c r="H21" s="123">
        <v>10</v>
      </c>
      <c r="I21" s="133">
        <v>2</v>
      </c>
      <c r="J21" s="129">
        <v>25</v>
      </c>
      <c r="K21" s="131">
        <v>5</v>
      </c>
      <c r="L21" s="166">
        <v>10</v>
      </c>
      <c r="M21" s="136">
        <v>2</v>
      </c>
      <c r="N21" s="146">
        <v>8</v>
      </c>
      <c r="O21" s="18">
        <v>1</v>
      </c>
      <c r="P21" s="137">
        <v>5</v>
      </c>
      <c r="Q21" s="127">
        <v>15</v>
      </c>
      <c r="R21" s="74">
        <f t="shared" si="0"/>
        <v>58</v>
      </c>
      <c r="S21" s="75">
        <f t="shared" si="0"/>
        <v>25</v>
      </c>
      <c r="T21" s="8">
        <f t="shared" si="1"/>
        <v>0.43103448275862066</v>
      </c>
      <c r="U21" s="9">
        <f t="shared" si="2"/>
        <v>83</v>
      </c>
      <c r="V21" s="3">
        <v>10</v>
      </c>
      <c r="W21" s="2">
        <v>2</v>
      </c>
      <c r="X21" s="2">
        <v>1</v>
      </c>
      <c r="Y21" s="2">
        <v>2</v>
      </c>
      <c r="Z21" s="2"/>
      <c r="AA21" s="2"/>
      <c r="AB21" s="2">
        <v>2</v>
      </c>
      <c r="AC21" s="2"/>
      <c r="AD21" s="2">
        <v>5</v>
      </c>
      <c r="AE21" s="2">
        <v>7</v>
      </c>
      <c r="AF21" s="2" t="s">
        <v>148</v>
      </c>
      <c r="AG21" s="6" t="s">
        <v>164</v>
      </c>
      <c r="AH21" s="6"/>
      <c r="AI21" s="6"/>
      <c r="AJ21" s="33">
        <v>65017</v>
      </c>
      <c r="AK21" s="6" t="s">
        <v>892</v>
      </c>
      <c r="AL21" s="6" t="s">
        <v>162</v>
      </c>
      <c r="AM21" s="49" t="s">
        <v>163</v>
      </c>
      <c r="AN21" s="4">
        <v>603972759</v>
      </c>
      <c r="AO21" s="6" t="s">
        <v>165</v>
      </c>
      <c r="AP21" s="33" t="s">
        <v>51</v>
      </c>
      <c r="AQ21" s="203" t="s">
        <v>166</v>
      </c>
      <c r="AR21" s="10" t="s">
        <v>52</v>
      </c>
      <c r="AS21" s="108" t="s">
        <v>53</v>
      </c>
      <c r="AT21" s="105" t="str">
        <f t="shared" si="3"/>
        <v>CG</v>
      </c>
      <c r="AU21" s="109" t="str">
        <f t="shared" si="4"/>
        <v>C</v>
      </c>
      <c r="AV21" s="110" t="s">
        <v>359</v>
      </c>
      <c r="AW21" s="111" t="e">
        <f t="shared" si="5"/>
        <v>#DIV/0!</v>
      </c>
    </row>
    <row r="22" spans="1:49" ht="56.15" customHeight="1" thickBot="1" x14ac:dyDescent="0.4">
      <c r="A22" s="72">
        <v>21</v>
      </c>
      <c r="B22" s="2" t="s">
        <v>146</v>
      </c>
      <c r="C22" s="2" t="s">
        <v>111</v>
      </c>
      <c r="D22" s="2" t="s">
        <v>351</v>
      </c>
      <c r="E22" s="2" t="s">
        <v>147</v>
      </c>
      <c r="F22" s="7">
        <v>43331</v>
      </c>
      <c r="G22" s="7">
        <v>43343</v>
      </c>
      <c r="H22" s="27">
        <v>0</v>
      </c>
      <c r="I22" s="28">
        <v>0</v>
      </c>
      <c r="J22" s="29">
        <v>20</v>
      </c>
      <c r="K22" s="30">
        <v>3</v>
      </c>
      <c r="L22" s="31">
        <v>20</v>
      </c>
      <c r="M22" s="32">
        <v>3</v>
      </c>
      <c r="N22" s="17">
        <v>20</v>
      </c>
      <c r="O22" s="18">
        <v>3</v>
      </c>
      <c r="P22" s="19">
        <v>0</v>
      </c>
      <c r="Q22" s="35">
        <v>0</v>
      </c>
      <c r="R22" s="74">
        <f t="shared" si="0"/>
        <v>60</v>
      </c>
      <c r="S22" s="75">
        <f t="shared" si="0"/>
        <v>9</v>
      </c>
      <c r="T22" s="8">
        <f t="shared" si="1"/>
        <v>0.15</v>
      </c>
      <c r="U22" s="9">
        <f t="shared" si="2"/>
        <v>69</v>
      </c>
      <c r="V22" s="3"/>
      <c r="W22" s="2"/>
      <c r="X22" s="2"/>
      <c r="Y22" s="2"/>
      <c r="Z22" s="2"/>
      <c r="AA22" s="2"/>
      <c r="AB22" s="2"/>
      <c r="AC22" s="2"/>
      <c r="AD22" s="2"/>
      <c r="AE22" s="2"/>
      <c r="AF22" s="2" t="s">
        <v>148</v>
      </c>
      <c r="AG22" s="6" t="s">
        <v>149</v>
      </c>
      <c r="AH22" s="6"/>
      <c r="AI22" s="6"/>
      <c r="AJ22" s="33" t="s">
        <v>923</v>
      </c>
      <c r="AK22" s="6" t="s">
        <v>881</v>
      </c>
      <c r="AL22" s="6" t="s">
        <v>159</v>
      </c>
      <c r="AM22" s="49" t="s">
        <v>160</v>
      </c>
      <c r="AN22" s="11">
        <v>769355118</v>
      </c>
      <c r="AO22" s="6" t="s">
        <v>112</v>
      </c>
      <c r="AP22" s="33" t="s">
        <v>122</v>
      </c>
      <c r="AQ22" s="203" t="s">
        <v>152</v>
      </c>
      <c r="AR22" s="6" t="s">
        <v>153</v>
      </c>
      <c r="AS22" s="108" t="s">
        <v>154</v>
      </c>
      <c r="AT22" s="105" t="str">
        <f t="shared" si="3"/>
        <v>CGG</v>
      </c>
      <c r="AU22" s="109" t="str">
        <f t="shared" si="4"/>
        <v>C</v>
      </c>
      <c r="AV22" s="110" t="s">
        <v>359</v>
      </c>
      <c r="AW22" s="111" t="e">
        <f t="shared" si="5"/>
        <v>#DIV/0!</v>
      </c>
    </row>
    <row r="23" spans="1:49" ht="56.15" customHeight="1" thickBot="1" x14ac:dyDescent="0.4">
      <c r="A23" s="120">
        <v>22</v>
      </c>
      <c r="B23" s="2" t="s">
        <v>161</v>
      </c>
      <c r="C23" s="2" t="s">
        <v>111</v>
      </c>
      <c r="D23" s="2" t="s">
        <v>64</v>
      </c>
      <c r="E23" s="7"/>
      <c r="F23" s="7">
        <v>43317</v>
      </c>
      <c r="G23" s="7">
        <v>43338</v>
      </c>
      <c r="H23" s="123">
        <v>8</v>
      </c>
      <c r="I23" s="133">
        <v>2</v>
      </c>
      <c r="J23" s="145">
        <v>50</v>
      </c>
      <c r="K23" s="131">
        <v>10</v>
      </c>
      <c r="L23" s="132">
        <v>80</v>
      </c>
      <c r="M23" s="130">
        <v>12</v>
      </c>
      <c r="N23" s="146">
        <v>60</v>
      </c>
      <c r="O23" s="167">
        <v>8</v>
      </c>
      <c r="P23" s="137">
        <v>15</v>
      </c>
      <c r="Q23" s="144">
        <v>55</v>
      </c>
      <c r="R23" s="74">
        <f t="shared" si="0"/>
        <v>213</v>
      </c>
      <c r="S23" s="75">
        <f t="shared" si="0"/>
        <v>87</v>
      </c>
      <c r="T23" s="8">
        <f t="shared" si="1"/>
        <v>0.40845070422535212</v>
      </c>
      <c r="U23" s="9">
        <f t="shared" si="2"/>
        <v>300</v>
      </c>
      <c r="V23" s="3">
        <v>8</v>
      </c>
      <c r="W23" s="2">
        <v>2</v>
      </c>
      <c r="X23" s="2">
        <v>-30</v>
      </c>
      <c r="Y23" s="2">
        <v>10</v>
      </c>
      <c r="Z23" s="2">
        <v>-90</v>
      </c>
      <c r="AA23" s="2">
        <v>12</v>
      </c>
      <c r="AB23" s="2">
        <v>60</v>
      </c>
      <c r="AC23" s="2">
        <v>8</v>
      </c>
      <c r="AD23" s="2">
        <v>15</v>
      </c>
      <c r="AE23" s="2">
        <v>-25</v>
      </c>
      <c r="AF23" s="2" t="s">
        <v>148</v>
      </c>
      <c r="AG23" s="6" t="s">
        <v>120</v>
      </c>
      <c r="AH23" s="6"/>
      <c r="AI23" s="6"/>
      <c r="AJ23" s="33" t="s">
        <v>167</v>
      </c>
      <c r="AK23" s="6" t="s">
        <v>890</v>
      </c>
      <c r="AL23" s="6" t="s">
        <v>162</v>
      </c>
      <c r="AM23" s="49" t="s">
        <v>163</v>
      </c>
      <c r="AN23" s="4">
        <v>603972759</v>
      </c>
      <c r="AO23" s="6" t="s">
        <v>165</v>
      </c>
      <c r="AP23" s="33" t="s">
        <v>122</v>
      </c>
      <c r="AQ23" s="203" t="s">
        <v>152</v>
      </c>
      <c r="AR23" s="6" t="s">
        <v>153</v>
      </c>
      <c r="AS23" s="108" t="s">
        <v>53</v>
      </c>
      <c r="AT23" s="105" t="str">
        <f t="shared" si="3"/>
        <v>CG</v>
      </c>
      <c r="AU23" s="109" t="str">
        <f t="shared" si="4"/>
        <v>D</v>
      </c>
      <c r="AV23" s="110" t="s">
        <v>359</v>
      </c>
      <c r="AW23" s="111" t="e">
        <f t="shared" si="5"/>
        <v>#DIV/0!</v>
      </c>
    </row>
    <row r="24" spans="1:49" ht="56.15" customHeight="1" thickBot="1" x14ac:dyDescent="0.4">
      <c r="A24" s="120">
        <v>23</v>
      </c>
      <c r="B24" s="2" t="s">
        <v>168</v>
      </c>
      <c r="C24" s="2" t="s">
        <v>111</v>
      </c>
      <c r="D24" s="2" t="s">
        <v>64</v>
      </c>
      <c r="E24" s="7"/>
      <c r="F24" s="7">
        <v>43317</v>
      </c>
      <c r="G24" s="7">
        <v>43338</v>
      </c>
      <c r="H24" s="142">
        <v>14</v>
      </c>
      <c r="I24" s="133">
        <v>6</v>
      </c>
      <c r="J24" s="145">
        <v>18</v>
      </c>
      <c r="K24" s="131">
        <v>5</v>
      </c>
      <c r="L24" s="132">
        <v>18</v>
      </c>
      <c r="M24" s="130">
        <v>5</v>
      </c>
      <c r="N24" s="149">
        <v>3</v>
      </c>
      <c r="O24" s="18">
        <v>0</v>
      </c>
      <c r="P24" s="19">
        <v>0</v>
      </c>
      <c r="Q24" s="127">
        <v>7</v>
      </c>
      <c r="R24" s="74">
        <f t="shared" si="0"/>
        <v>53</v>
      </c>
      <c r="S24" s="75">
        <f t="shared" si="0"/>
        <v>23</v>
      </c>
      <c r="T24" s="8">
        <f t="shared" si="1"/>
        <v>0.43396226415094341</v>
      </c>
      <c r="U24" s="9">
        <f t="shared" si="2"/>
        <v>76</v>
      </c>
      <c r="V24" s="3">
        <v>-1</v>
      </c>
      <c r="W24" s="2">
        <v>2</v>
      </c>
      <c r="X24" s="2">
        <v>-2</v>
      </c>
      <c r="Y24" s="2">
        <v>1</v>
      </c>
      <c r="Z24" s="2">
        <v>-2</v>
      </c>
      <c r="AA24" s="2">
        <v>1</v>
      </c>
      <c r="AB24" s="2">
        <v>-3</v>
      </c>
      <c r="AC24" s="2"/>
      <c r="AD24" s="2"/>
      <c r="AE24" s="2">
        <v>1</v>
      </c>
      <c r="AF24" s="2" t="s">
        <v>65</v>
      </c>
      <c r="AG24" s="6" t="s">
        <v>171</v>
      </c>
      <c r="AH24" s="6"/>
      <c r="AI24" s="6"/>
      <c r="AJ24" s="33" t="s">
        <v>172</v>
      </c>
      <c r="AK24" s="6" t="s">
        <v>883</v>
      </c>
      <c r="AL24" s="6" t="s">
        <v>169</v>
      </c>
      <c r="AM24" s="49" t="s">
        <v>170</v>
      </c>
      <c r="AN24" s="4">
        <v>621180044</v>
      </c>
      <c r="AO24" s="6" t="s">
        <v>169</v>
      </c>
      <c r="AP24" s="33" t="s">
        <v>122</v>
      </c>
      <c r="AQ24" s="203" t="s">
        <v>173</v>
      </c>
      <c r="AR24" s="10" t="s">
        <v>43</v>
      </c>
      <c r="AS24" s="108" t="s">
        <v>53</v>
      </c>
      <c r="AT24" s="105" t="str">
        <f t="shared" si="3"/>
        <v>CG</v>
      </c>
      <c r="AU24" s="109" t="str">
        <f t="shared" si="4"/>
        <v>C</v>
      </c>
      <c r="AV24" s="110" t="s">
        <v>359</v>
      </c>
      <c r="AW24" s="111" t="e">
        <f t="shared" si="5"/>
        <v>#DIV/0!</v>
      </c>
    </row>
    <row r="25" spans="1:49" ht="85.5" customHeight="1" thickBot="1" x14ac:dyDescent="0.4">
      <c r="A25" s="120">
        <v>24</v>
      </c>
      <c r="B25" s="2" t="s">
        <v>174</v>
      </c>
      <c r="C25" s="2" t="s">
        <v>175</v>
      </c>
      <c r="D25" s="2" t="s">
        <v>178</v>
      </c>
      <c r="E25" s="7"/>
      <c r="F25" s="7">
        <v>43290</v>
      </c>
      <c r="G25" s="7">
        <v>43308</v>
      </c>
      <c r="H25" s="27">
        <v>0</v>
      </c>
      <c r="I25" s="28">
        <v>0</v>
      </c>
      <c r="J25" s="129">
        <v>29</v>
      </c>
      <c r="K25" s="30">
        <v>4</v>
      </c>
      <c r="L25" s="31">
        <v>0</v>
      </c>
      <c r="M25" s="32">
        <v>0</v>
      </c>
      <c r="N25" s="17">
        <v>0</v>
      </c>
      <c r="O25" s="18">
        <v>0</v>
      </c>
      <c r="P25" s="19">
        <v>0</v>
      </c>
      <c r="Q25" s="127">
        <v>4</v>
      </c>
      <c r="R25" s="74">
        <f t="shared" si="0"/>
        <v>29</v>
      </c>
      <c r="S25" s="75">
        <f t="shared" si="0"/>
        <v>8</v>
      </c>
      <c r="T25" s="8">
        <f t="shared" si="1"/>
        <v>0.27586206896551724</v>
      </c>
      <c r="U25" s="9">
        <f t="shared" si="2"/>
        <v>37</v>
      </c>
      <c r="V25" s="3"/>
      <c r="W25" s="2"/>
      <c r="X25" s="2">
        <v>11</v>
      </c>
      <c r="Y25" s="2"/>
      <c r="Z25" s="2"/>
      <c r="AA25" s="2"/>
      <c r="AB25" s="2"/>
      <c r="AC25" s="2"/>
      <c r="AD25" s="2"/>
      <c r="AE25" s="2">
        <v>2</v>
      </c>
      <c r="AF25" s="2" t="s">
        <v>65</v>
      </c>
      <c r="AG25" s="6" t="s">
        <v>179</v>
      </c>
      <c r="AH25" s="6"/>
      <c r="AI25" s="6"/>
      <c r="AJ25" s="33" t="s">
        <v>180</v>
      </c>
      <c r="AK25" s="6" t="s">
        <v>883</v>
      </c>
      <c r="AL25" s="6" t="s">
        <v>176</v>
      </c>
      <c r="AM25" s="49" t="s">
        <v>177</v>
      </c>
      <c r="AN25" s="4">
        <v>610911767</v>
      </c>
      <c r="AO25" s="6" t="s">
        <v>176</v>
      </c>
      <c r="AP25" s="33" t="s">
        <v>51</v>
      </c>
      <c r="AQ25" s="203" t="s">
        <v>181</v>
      </c>
      <c r="AR25" s="10" t="s">
        <v>175</v>
      </c>
      <c r="AS25" s="108" t="s">
        <v>53</v>
      </c>
      <c r="AT25" s="105" t="str">
        <f t="shared" si="3"/>
        <v>CULO</v>
      </c>
      <c r="AU25" s="109" t="str">
        <f t="shared" si="4"/>
        <v>B</v>
      </c>
      <c r="AV25" s="110" t="s">
        <v>359</v>
      </c>
      <c r="AW25" s="111" t="e">
        <f t="shared" si="5"/>
        <v>#DIV/0!</v>
      </c>
    </row>
    <row r="26" spans="1:49" ht="56.15" customHeight="1" thickBot="1" x14ac:dyDescent="0.4">
      <c r="A26" s="120">
        <v>25</v>
      </c>
      <c r="B26" s="2" t="s">
        <v>182</v>
      </c>
      <c r="C26" s="2" t="s">
        <v>175</v>
      </c>
      <c r="D26" s="2" t="s">
        <v>64</v>
      </c>
      <c r="E26" s="7"/>
      <c r="F26" s="7">
        <v>43288</v>
      </c>
      <c r="G26" s="7">
        <v>43308</v>
      </c>
      <c r="H26" s="27">
        <v>5</v>
      </c>
      <c r="I26" s="28">
        <v>1</v>
      </c>
      <c r="J26" s="129">
        <v>13</v>
      </c>
      <c r="K26" s="30">
        <v>2</v>
      </c>
      <c r="L26" s="126">
        <v>17</v>
      </c>
      <c r="M26" s="130">
        <v>3</v>
      </c>
      <c r="N26" s="17">
        <v>0</v>
      </c>
      <c r="O26" s="18">
        <v>0</v>
      </c>
      <c r="P26" s="19">
        <v>0</v>
      </c>
      <c r="Q26" s="35">
        <v>1</v>
      </c>
      <c r="R26" s="74">
        <f t="shared" si="0"/>
        <v>35</v>
      </c>
      <c r="S26" s="75">
        <f t="shared" si="0"/>
        <v>7</v>
      </c>
      <c r="T26" s="8">
        <f t="shared" si="1"/>
        <v>0.2</v>
      </c>
      <c r="U26" s="9">
        <f t="shared" si="2"/>
        <v>42</v>
      </c>
      <c r="V26" s="3"/>
      <c r="W26" s="2"/>
      <c r="X26" s="2">
        <v>1</v>
      </c>
      <c r="Y26" s="2"/>
      <c r="Z26" s="2">
        <v>7</v>
      </c>
      <c r="AA26" s="2">
        <v>1</v>
      </c>
      <c r="AB26" s="2"/>
      <c r="AC26" s="2"/>
      <c r="AD26" s="2"/>
      <c r="AE26" s="2"/>
      <c r="AF26" s="2" t="s">
        <v>65</v>
      </c>
      <c r="AG26" s="6" t="s">
        <v>185</v>
      </c>
      <c r="AH26" s="6"/>
      <c r="AI26" s="6"/>
      <c r="AJ26" s="33" t="s">
        <v>186</v>
      </c>
      <c r="AK26" s="6" t="s">
        <v>883</v>
      </c>
      <c r="AL26" s="6" t="s">
        <v>184</v>
      </c>
      <c r="AM26" s="49" t="s">
        <v>183</v>
      </c>
      <c r="AN26" s="4">
        <v>672435799</v>
      </c>
      <c r="AO26" s="6" t="s">
        <v>184</v>
      </c>
      <c r="AP26" s="33" t="s">
        <v>51</v>
      </c>
      <c r="AQ26" s="203" t="s">
        <v>181</v>
      </c>
      <c r="AR26" s="10" t="s">
        <v>175</v>
      </c>
      <c r="AS26" s="108" t="s">
        <v>53</v>
      </c>
      <c r="AT26" s="105" t="str">
        <f t="shared" si="3"/>
        <v>CG</v>
      </c>
      <c r="AU26" s="109" t="str">
        <f t="shared" si="4"/>
        <v>B</v>
      </c>
      <c r="AV26" s="110" t="s">
        <v>359</v>
      </c>
      <c r="AW26" s="111" t="e">
        <f t="shared" si="5"/>
        <v>#DIV/0!</v>
      </c>
    </row>
    <row r="27" spans="1:49" ht="56.15" customHeight="1" thickBot="1" x14ac:dyDescent="0.4">
      <c r="A27" s="120">
        <v>26</v>
      </c>
      <c r="B27" s="2" t="s">
        <v>187</v>
      </c>
      <c r="C27" s="2" t="s">
        <v>175</v>
      </c>
      <c r="D27" s="2" t="s">
        <v>64</v>
      </c>
      <c r="E27" s="7"/>
      <c r="F27" s="7">
        <v>43288</v>
      </c>
      <c r="G27" s="7">
        <v>43296</v>
      </c>
      <c r="H27" s="123">
        <v>12</v>
      </c>
      <c r="I27" s="139">
        <v>2</v>
      </c>
      <c r="J27" s="129">
        <v>26</v>
      </c>
      <c r="K27" s="131">
        <v>4</v>
      </c>
      <c r="L27" s="31">
        <v>0</v>
      </c>
      <c r="M27" s="32">
        <v>0</v>
      </c>
      <c r="N27" s="17">
        <v>0</v>
      </c>
      <c r="O27" s="18">
        <v>0</v>
      </c>
      <c r="P27" s="19">
        <v>0</v>
      </c>
      <c r="Q27" s="138">
        <v>1</v>
      </c>
      <c r="R27" s="74">
        <f t="shared" si="0"/>
        <v>38</v>
      </c>
      <c r="S27" s="75">
        <f t="shared" si="0"/>
        <v>7</v>
      </c>
      <c r="T27" s="8">
        <f t="shared" si="1"/>
        <v>0.18421052631578946</v>
      </c>
      <c r="U27" s="9">
        <f t="shared" si="2"/>
        <v>45</v>
      </c>
      <c r="V27" s="3">
        <v>3</v>
      </c>
      <c r="W27" s="2"/>
      <c r="X27" s="2">
        <v>4</v>
      </c>
      <c r="Y27" s="2">
        <v>1</v>
      </c>
      <c r="Z27" s="2"/>
      <c r="AA27" s="2"/>
      <c r="AB27" s="2"/>
      <c r="AC27" s="2"/>
      <c r="AD27" s="2"/>
      <c r="AE27" s="2"/>
      <c r="AF27" s="2" t="s">
        <v>148</v>
      </c>
      <c r="AG27" s="6" t="s">
        <v>850</v>
      </c>
      <c r="AH27" s="6"/>
      <c r="AI27" s="6"/>
      <c r="AJ27" s="33" t="s">
        <v>851</v>
      </c>
      <c r="AK27" s="6" t="s">
        <v>883</v>
      </c>
      <c r="AL27" s="6" t="s">
        <v>189</v>
      </c>
      <c r="AM27" s="49" t="s">
        <v>190</v>
      </c>
      <c r="AN27" s="11">
        <v>688767916</v>
      </c>
      <c r="AO27" s="2" t="s">
        <v>188</v>
      </c>
      <c r="AP27" s="33" t="s">
        <v>51</v>
      </c>
      <c r="AQ27" s="203" t="s">
        <v>215</v>
      </c>
      <c r="AR27" s="10" t="s">
        <v>175</v>
      </c>
      <c r="AS27" s="108" t="s">
        <v>53</v>
      </c>
      <c r="AT27" s="105" t="str">
        <f t="shared" si="3"/>
        <v>CG</v>
      </c>
      <c r="AU27" s="109" t="str">
        <f t="shared" si="4"/>
        <v>B</v>
      </c>
      <c r="AV27" s="110" t="s">
        <v>359</v>
      </c>
      <c r="AW27" s="111" t="e">
        <f t="shared" si="5"/>
        <v>#DIV/0!</v>
      </c>
    </row>
    <row r="28" spans="1:49" ht="56.15" customHeight="1" thickBot="1" x14ac:dyDescent="0.4">
      <c r="A28" s="120">
        <v>27</v>
      </c>
      <c r="B28" s="2" t="s">
        <v>192</v>
      </c>
      <c r="C28" s="2" t="s">
        <v>175</v>
      </c>
      <c r="D28" s="2" t="s">
        <v>351</v>
      </c>
      <c r="E28" s="7" t="s">
        <v>867</v>
      </c>
      <c r="F28" s="7">
        <v>43290</v>
      </c>
      <c r="G28" s="7">
        <v>43308</v>
      </c>
      <c r="H28" s="128">
        <v>14</v>
      </c>
      <c r="I28" s="188">
        <v>5</v>
      </c>
      <c r="J28" s="124">
        <v>23</v>
      </c>
      <c r="K28" s="30">
        <v>9</v>
      </c>
      <c r="L28" s="126">
        <v>38</v>
      </c>
      <c r="M28" s="32">
        <v>9</v>
      </c>
      <c r="N28" s="17">
        <v>0</v>
      </c>
      <c r="O28" s="18">
        <v>0</v>
      </c>
      <c r="P28" s="19">
        <v>0</v>
      </c>
      <c r="Q28" s="127">
        <v>3</v>
      </c>
      <c r="R28" s="74">
        <f t="shared" si="0"/>
        <v>75</v>
      </c>
      <c r="S28" s="75">
        <f t="shared" si="0"/>
        <v>26</v>
      </c>
      <c r="T28" s="8">
        <f t="shared" si="1"/>
        <v>0.34666666666666668</v>
      </c>
      <c r="U28" s="9">
        <f t="shared" si="2"/>
        <v>101</v>
      </c>
      <c r="V28" s="3">
        <v>-6</v>
      </c>
      <c r="W28" s="2">
        <v>-2</v>
      </c>
      <c r="X28" s="2">
        <v>-2</v>
      </c>
      <c r="Y28" s="2"/>
      <c r="Z28" s="2">
        <v>23</v>
      </c>
      <c r="AA28" s="2"/>
      <c r="AB28" s="2"/>
      <c r="AC28" s="2"/>
      <c r="AD28" s="2"/>
      <c r="AE28" s="2">
        <v>3</v>
      </c>
      <c r="AF28" s="2" t="s">
        <v>148</v>
      </c>
      <c r="AG28" s="6" t="s">
        <v>194</v>
      </c>
      <c r="AH28" s="6"/>
      <c r="AI28" s="6"/>
      <c r="AJ28" s="33">
        <v>24183</v>
      </c>
      <c r="AK28" s="6" t="s">
        <v>885</v>
      </c>
      <c r="AL28" s="6" t="s">
        <v>195</v>
      </c>
      <c r="AM28" s="49" t="s">
        <v>196</v>
      </c>
      <c r="AN28" s="11">
        <v>632213905</v>
      </c>
      <c r="AO28" s="6" t="s">
        <v>193</v>
      </c>
      <c r="AP28" s="33" t="s">
        <v>51</v>
      </c>
      <c r="AQ28" s="203" t="s">
        <v>181</v>
      </c>
      <c r="AR28" s="10" t="s">
        <v>175</v>
      </c>
      <c r="AS28" s="108" t="s">
        <v>53</v>
      </c>
      <c r="AT28" s="105" t="str">
        <f t="shared" si="3"/>
        <v>CGG</v>
      </c>
      <c r="AU28" s="109" t="str">
        <f t="shared" si="4"/>
        <v>C</v>
      </c>
      <c r="AV28" s="110" t="s">
        <v>359</v>
      </c>
      <c r="AW28" s="111" t="e">
        <f t="shared" si="5"/>
        <v>#DIV/0!</v>
      </c>
    </row>
    <row r="29" spans="1:49" ht="69.75" customHeight="1" thickBot="1" x14ac:dyDescent="0.4">
      <c r="A29" s="120">
        <v>28</v>
      </c>
      <c r="B29" s="2" t="s">
        <v>197</v>
      </c>
      <c r="C29" s="2" t="s">
        <v>175</v>
      </c>
      <c r="D29" s="2" t="s">
        <v>351</v>
      </c>
      <c r="E29" s="7" t="s">
        <v>200</v>
      </c>
      <c r="F29" s="7">
        <v>43289</v>
      </c>
      <c r="G29" s="7">
        <v>43311</v>
      </c>
      <c r="H29" s="27">
        <v>0</v>
      </c>
      <c r="I29" s="28">
        <v>0</v>
      </c>
      <c r="J29" s="145">
        <v>17</v>
      </c>
      <c r="K29" s="143">
        <v>5</v>
      </c>
      <c r="L29" s="166">
        <v>0</v>
      </c>
      <c r="M29" s="136">
        <v>0</v>
      </c>
      <c r="N29" s="149">
        <v>5</v>
      </c>
      <c r="O29" s="147">
        <v>1</v>
      </c>
      <c r="P29" s="165">
        <v>0</v>
      </c>
      <c r="Q29" s="127">
        <v>1</v>
      </c>
      <c r="R29" s="74">
        <f t="shared" si="0"/>
        <v>22</v>
      </c>
      <c r="S29" s="75">
        <f t="shared" si="0"/>
        <v>7</v>
      </c>
      <c r="T29" s="8">
        <f t="shared" si="1"/>
        <v>0.31818181818181818</v>
      </c>
      <c r="U29" s="9">
        <f t="shared" si="2"/>
        <v>29</v>
      </c>
      <c r="V29" s="3"/>
      <c r="W29" s="2"/>
      <c r="X29" s="2">
        <v>-8</v>
      </c>
      <c r="Y29" s="2">
        <v>-1</v>
      </c>
      <c r="Z29" s="2"/>
      <c r="AA29" s="2"/>
      <c r="AB29" s="2">
        <v>-1</v>
      </c>
      <c r="AC29" s="2"/>
      <c r="AD29" s="2"/>
      <c r="AE29" s="2">
        <v>1</v>
      </c>
      <c r="AF29" s="2" t="s">
        <v>148</v>
      </c>
      <c r="AG29" s="6" t="s">
        <v>201</v>
      </c>
      <c r="AH29" s="6"/>
      <c r="AI29" s="6"/>
      <c r="AJ29" s="33" t="s">
        <v>202</v>
      </c>
      <c r="AK29" s="6" t="s">
        <v>883</v>
      </c>
      <c r="AL29" s="6" t="s">
        <v>203</v>
      </c>
      <c r="AM29" s="46" t="s">
        <v>199</v>
      </c>
      <c r="AN29" s="11">
        <v>646402237</v>
      </c>
      <c r="AO29" s="6" t="s">
        <v>198</v>
      </c>
      <c r="AP29" s="33" t="s">
        <v>51</v>
      </c>
      <c r="AQ29" s="203" t="s">
        <v>204</v>
      </c>
      <c r="AR29" s="10" t="s">
        <v>43</v>
      </c>
      <c r="AS29" s="108" t="s">
        <v>53</v>
      </c>
      <c r="AT29" s="105" t="str">
        <f t="shared" si="3"/>
        <v>CGG</v>
      </c>
      <c r="AU29" s="109" t="str">
        <f t="shared" si="4"/>
        <v>B</v>
      </c>
      <c r="AV29" s="110" t="s">
        <v>359</v>
      </c>
      <c r="AW29" s="111" t="e">
        <f t="shared" si="5"/>
        <v>#DIV/0!</v>
      </c>
    </row>
    <row r="30" spans="1:49" ht="56.15" customHeight="1" thickBot="1" x14ac:dyDescent="0.4">
      <c r="A30" s="120">
        <v>29</v>
      </c>
      <c r="B30" s="2" t="s">
        <v>174</v>
      </c>
      <c r="C30" s="2" t="s">
        <v>175</v>
      </c>
      <c r="D30" s="2" t="s">
        <v>205</v>
      </c>
      <c r="E30" s="7"/>
      <c r="F30" s="7">
        <v>43304</v>
      </c>
      <c r="G30" s="7">
        <v>43308</v>
      </c>
      <c r="H30" s="27">
        <v>0</v>
      </c>
      <c r="I30" s="28">
        <v>0</v>
      </c>
      <c r="J30" s="29">
        <v>0</v>
      </c>
      <c r="K30" s="30">
        <v>0</v>
      </c>
      <c r="L30" s="132">
        <v>13</v>
      </c>
      <c r="M30" s="136">
        <v>3</v>
      </c>
      <c r="N30" s="17">
        <v>0</v>
      </c>
      <c r="O30" s="18">
        <v>0</v>
      </c>
      <c r="P30" s="19">
        <v>0</v>
      </c>
      <c r="Q30" s="35">
        <v>0</v>
      </c>
      <c r="R30" s="74">
        <f t="shared" si="0"/>
        <v>13</v>
      </c>
      <c r="S30" s="75">
        <f t="shared" si="0"/>
        <v>3</v>
      </c>
      <c r="T30" s="8">
        <f t="shared" si="1"/>
        <v>0.23076923076923078</v>
      </c>
      <c r="U30" s="9">
        <f t="shared" si="2"/>
        <v>16</v>
      </c>
      <c r="V30" s="3"/>
      <c r="W30" s="2"/>
      <c r="X30" s="2"/>
      <c r="Y30" s="2"/>
      <c r="Z30" s="2">
        <v>-3</v>
      </c>
      <c r="AA30" s="2"/>
      <c r="AB30" s="2"/>
      <c r="AC30" s="2"/>
      <c r="AD30" s="2"/>
      <c r="AE30" s="2"/>
      <c r="AF30" s="6" t="s">
        <v>133</v>
      </c>
      <c r="AG30" s="6"/>
      <c r="AH30" s="6"/>
      <c r="AI30" s="6"/>
      <c r="AJ30" s="33" t="s">
        <v>206</v>
      </c>
      <c r="AK30" s="6" t="s">
        <v>880</v>
      </c>
      <c r="AL30" s="6" t="s">
        <v>207</v>
      </c>
      <c r="AM30" s="46" t="s">
        <v>208</v>
      </c>
      <c r="AN30" s="11">
        <v>648141084</v>
      </c>
      <c r="AO30" s="6" t="s">
        <v>176</v>
      </c>
      <c r="AP30" s="33" t="s">
        <v>51</v>
      </c>
      <c r="AQ30" s="203"/>
      <c r="AR30" s="10"/>
      <c r="AS30" s="108" t="s">
        <v>53</v>
      </c>
      <c r="AT30" s="105" t="str">
        <f t="shared" si="3"/>
        <v>CUE</v>
      </c>
      <c r="AU30" s="109" t="str">
        <f t="shared" si="4"/>
        <v>A</v>
      </c>
      <c r="AV30" s="110" t="s">
        <v>359</v>
      </c>
      <c r="AW30" s="111" t="e">
        <f t="shared" si="5"/>
        <v>#DIV/0!</v>
      </c>
    </row>
    <row r="31" spans="1:49" ht="56.15" customHeight="1" thickBot="1" x14ac:dyDescent="0.4">
      <c r="A31" s="120">
        <v>30</v>
      </c>
      <c r="B31" s="2" t="s">
        <v>209</v>
      </c>
      <c r="C31" s="2" t="s">
        <v>175</v>
      </c>
      <c r="D31" s="2" t="s">
        <v>64</v>
      </c>
      <c r="E31" s="7"/>
      <c r="F31" s="7">
        <v>43290</v>
      </c>
      <c r="G31" s="7">
        <v>43303</v>
      </c>
      <c r="H31" s="142">
        <v>18</v>
      </c>
      <c r="I31" s="133">
        <v>4</v>
      </c>
      <c r="J31" s="145">
        <v>16</v>
      </c>
      <c r="K31" s="131">
        <v>4</v>
      </c>
      <c r="L31" s="166">
        <v>0</v>
      </c>
      <c r="M31" s="136">
        <v>0</v>
      </c>
      <c r="N31" s="153">
        <v>0</v>
      </c>
      <c r="O31" s="147">
        <v>0</v>
      </c>
      <c r="P31" s="165">
        <v>0</v>
      </c>
      <c r="Q31" s="127">
        <v>5</v>
      </c>
      <c r="R31" s="74">
        <f t="shared" si="0"/>
        <v>34</v>
      </c>
      <c r="S31" s="75">
        <f t="shared" si="0"/>
        <v>13</v>
      </c>
      <c r="T31" s="8">
        <f t="shared" si="1"/>
        <v>0.38235294117647056</v>
      </c>
      <c r="U31" s="9">
        <f t="shared" si="2"/>
        <v>47</v>
      </c>
      <c r="V31" s="3">
        <v>-2</v>
      </c>
      <c r="W31" s="2">
        <v>1</v>
      </c>
      <c r="X31" s="2">
        <v>-4</v>
      </c>
      <c r="Y31" s="2">
        <v>1</v>
      </c>
      <c r="Z31" s="2"/>
      <c r="AA31" s="2"/>
      <c r="AB31" s="2"/>
      <c r="AC31" s="2"/>
      <c r="AD31" s="2"/>
      <c r="AE31" s="2">
        <v>5</v>
      </c>
      <c r="AF31" s="2" t="s">
        <v>65</v>
      </c>
      <c r="AG31" s="6" t="s">
        <v>211</v>
      </c>
      <c r="AH31" s="6"/>
      <c r="AI31" s="6"/>
      <c r="AJ31" s="33" t="s">
        <v>212</v>
      </c>
      <c r="AK31" s="6" t="s">
        <v>883</v>
      </c>
      <c r="AL31" s="6" t="s">
        <v>213</v>
      </c>
      <c r="AM31" s="46" t="s">
        <v>214</v>
      </c>
      <c r="AN31" s="11">
        <v>663257305</v>
      </c>
      <c r="AO31" s="6" t="s">
        <v>210</v>
      </c>
      <c r="AP31" s="33" t="s">
        <v>51</v>
      </c>
      <c r="AQ31" s="203" t="s">
        <v>215</v>
      </c>
      <c r="AR31" s="10" t="s">
        <v>175</v>
      </c>
      <c r="AS31" s="108" t="s">
        <v>53</v>
      </c>
      <c r="AT31" s="105" t="str">
        <f t="shared" si="3"/>
        <v>CG</v>
      </c>
      <c r="AU31" s="109" t="str">
        <f t="shared" si="4"/>
        <v>B</v>
      </c>
      <c r="AV31" s="110" t="s">
        <v>359</v>
      </c>
      <c r="AW31" s="111" t="e">
        <f t="shared" si="5"/>
        <v>#DIV/0!</v>
      </c>
    </row>
    <row r="32" spans="1:49" ht="56.15" customHeight="1" thickBot="1" x14ac:dyDescent="0.4">
      <c r="A32" s="120">
        <v>31</v>
      </c>
      <c r="B32" s="2" t="s">
        <v>337</v>
      </c>
      <c r="C32" s="2" t="s">
        <v>175</v>
      </c>
      <c r="D32" s="2" t="s">
        <v>64</v>
      </c>
      <c r="E32" s="7"/>
      <c r="F32" s="7">
        <v>43291</v>
      </c>
      <c r="G32" s="7">
        <v>43312</v>
      </c>
      <c r="H32" s="152">
        <v>4</v>
      </c>
      <c r="I32" s="139">
        <v>1</v>
      </c>
      <c r="J32" s="150">
        <v>20</v>
      </c>
      <c r="K32" s="134">
        <v>3</v>
      </c>
      <c r="L32" s="166">
        <v>26</v>
      </c>
      <c r="M32" s="148">
        <v>3</v>
      </c>
      <c r="N32" s="153">
        <v>11</v>
      </c>
      <c r="O32" s="147">
        <v>1</v>
      </c>
      <c r="P32" s="165">
        <v>0</v>
      </c>
      <c r="Q32" s="138">
        <v>6</v>
      </c>
      <c r="R32" s="74">
        <f t="shared" si="0"/>
        <v>61</v>
      </c>
      <c r="S32" s="75">
        <f t="shared" si="0"/>
        <v>14</v>
      </c>
      <c r="T32" s="8">
        <f t="shared" si="1"/>
        <v>0.22950819672131148</v>
      </c>
      <c r="U32" s="9">
        <f t="shared" si="2"/>
        <v>75</v>
      </c>
      <c r="V32" s="3"/>
      <c r="W32" s="2"/>
      <c r="X32" s="2"/>
      <c r="Y32" s="2"/>
      <c r="Z32" s="2"/>
      <c r="AA32" s="2">
        <v>-1</v>
      </c>
      <c r="AB32" s="2"/>
      <c r="AC32" s="2"/>
      <c r="AD32" s="2"/>
      <c r="AE32" s="2"/>
      <c r="AF32" s="6" t="s">
        <v>133</v>
      </c>
      <c r="AG32" s="6"/>
      <c r="AH32" s="6" t="s">
        <v>217</v>
      </c>
      <c r="AI32" s="6"/>
      <c r="AJ32" s="33" t="s">
        <v>348</v>
      </c>
      <c r="AK32" s="6" t="s">
        <v>884</v>
      </c>
      <c r="AL32" s="6" t="s">
        <v>218</v>
      </c>
      <c r="AM32" s="46" t="s">
        <v>219</v>
      </c>
      <c r="AN32" s="11">
        <v>658581265</v>
      </c>
      <c r="AO32" s="6" t="s">
        <v>216</v>
      </c>
      <c r="AP32" s="33" t="s">
        <v>51</v>
      </c>
      <c r="AQ32" s="203"/>
      <c r="AR32" s="10"/>
      <c r="AS32" s="108" t="s">
        <v>53</v>
      </c>
      <c r="AT32" s="105" t="str">
        <f t="shared" si="3"/>
        <v>CG</v>
      </c>
      <c r="AU32" s="109" t="str">
        <f t="shared" si="4"/>
        <v>C</v>
      </c>
      <c r="AV32" s="110" t="s">
        <v>359</v>
      </c>
      <c r="AW32" s="111" t="e">
        <f t="shared" si="5"/>
        <v>#DIV/0!</v>
      </c>
    </row>
    <row r="33" spans="1:49" ht="60.75" customHeight="1" thickBot="1" x14ac:dyDescent="0.4">
      <c r="A33" s="120">
        <v>32</v>
      </c>
      <c r="B33" s="2" t="s">
        <v>220</v>
      </c>
      <c r="C33" s="2" t="s">
        <v>52</v>
      </c>
      <c r="D33" s="2" t="s">
        <v>205</v>
      </c>
      <c r="E33" s="7"/>
      <c r="F33" s="7">
        <v>43325</v>
      </c>
      <c r="G33" s="7">
        <v>43338</v>
      </c>
      <c r="H33" s="27">
        <v>0</v>
      </c>
      <c r="I33" s="28">
        <v>0</v>
      </c>
      <c r="J33" s="29">
        <v>0</v>
      </c>
      <c r="K33" s="30">
        <v>0</v>
      </c>
      <c r="L33" s="126">
        <v>9</v>
      </c>
      <c r="M33" s="148">
        <v>1</v>
      </c>
      <c r="N33" s="17">
        <v>0</v>
      </c>
      <c r="O33" s="18">
        <v>0</v>
      </c>
      <c r="P33" s="19">
        <v>0</v>
      </c>
      <c r="Q33" s="35">
        <v>0</v>
      </c>
      <c r="R33" s="74">
        <f t="shared" si="0"/>
        <v>9</v>
      </c>
      <c r="S33" s="75">
        <f t="shared" si="0"/>
        <v>1</v>
      </c>
      <c r="T33" s="8">
        <f t="shared" si="1"/>
        <v>0.1111111111111111</v>
      </c>
      <c r="U33" s="9">
        <f t="shared" si="2"/>
        <v>10</v>
      </c>
      <c r="V33" s="3"/>
      <c r="W33" s="2"/>
      <c r="X33" s="2"/>
      <c r="Y33" s="2"/>
      <c r="Z33" s="2">
        <v>1</v>
      </c>
      <c r="AA33" s="2">
        <v>-3</v>
      </c>
      <c r="AB33" s="2"/>
      <c r="AC33" s="2"/>
      <c r="AD33" s="2"/>
      <c r="AE33" s="2"/>
      <c r="AF33" s="2" t="s">
        <v>148</v>
      </c>
      <c r="AG33" s="6"/>
      <c r="AH33" s="6" t="s">
        <v>217</v>
      </c>
      <c r="AI33" s="6"/>
      <c r="AJ33" s="33" t="s">
        <v>221</v>
      </c>
      <c r="AK33" s="6" t="s">
        <v>884</v>
      </c>
      <c r="AL33" s="6" t="s">
        <v>222</v>
      </c>
      <c r="AM33" s="46" t="s">
        <v>223</v>
      </c>
      <c r="AN33" s="11">
        <v>633393908</v>
      </c>
      <c r="AO33" s="6" t="s">
        <v>224</v>
      </c>
      <c r="AP33" s="33" t="s">
        <v>122</v>
      </c>
      <c r="AQ33" s="203"/>
      <c r="AR33" s="10"/>
      <c r="AS33" s="108" t="s">
        <v>53</v>
      </c>
      <c r="AT33" s="105" t="str">
        <f t="shared" si="3"/>
        <v>CUE</v>
      </c>
      <c r="AU33" s="109" t="str">
        <f t="shared" si="4"/>
        <v>A</v>
      </c>
      <c r="AV33" s="110" t="s">
        <v>359</v>
      </c>
      <c r="AW33" s="111" t="e">
        <f t="shared" si="5"/>
        <v>#DIV/0!</v>
      </c>
    </row>
    <row r="34" spans="1:49" ht="56.15" customHeight="1" thickBot="1" x14ac:dyDescent="0.4">
      <c r="A34" s="120">
        <v>33</v>
      </c>
      <c r="B34" s="2" t="s">
        <v>187</v>
      </c>
      <c r="C34" s="2" t="s">
        <v>175</v>
      </c>
      <c r="D34" s="2" t="s">
        <v>205</v>
      </c>
      <c r="E34" s="7"/>
      <c r="F34" s="7">
        <v>43290</v>
      </c>
      <c r="G34" s="7">
        <v>43308</v>
      </c>
      <c r="H34" s="27">
        <v>0</v>
      </c>
      <c r="I34" s="28">
        <v>0</v>
      </c>
      <c r="J34" s="29">
        <v>0</v>
      </c>
      <c r="K34" s="30">
        <v>0</v>
      </c>
      <c r="L34" s="132">
        <v>29</v>
      </c>
      <c r="M34" s="148">
        <v>2</v>
      </c>
      <c r="N34" s="17">
        <v>0</v>
      </c>
      <c r="O34" s="18">
        <v>0</v>
      </c>
      <c r="P34" s="19">
        <v>0</v>
      </c>
      <c r="Q34" s="35">
        <v>0</v>
      </c>
      <c r="R34" s="74">
        <f t="shared" ref="R34:S65" si="6">H34+J34+L34+N34+P34</f>
        <v>29</v>
      </c>
      <c r="S34" s="75">
        <f t="shared" si="6"/>
        <v>2</v>
      </c>
      <c r="T34" s="8">
        <f t="shared" si="1"/>
        <v>6.8965517241379309E-2</v>
      </c>
      <c r="U34" s="9">
        <f t="shared" si="2"/>
        <v>31</v>
      </c>
      <c r="V34" s="3"/>
      <c r="W34" s="2"/>
      <c r="X34" s="2"/>
      <c r="Y34" s="2"/>
      <c r="Z34" s="2">
        <v>-1</v>
      </c>
      <c r="AA34" s="2">
        <v>-2</v>
      </c>
      <c r="AB34" s="2"/>
      <c r="AC34" s="2"/>
      <c r="AD34" s="2"/>
      <c r="AE34" s="2"/>
      <c r="AF34" s="2" t="s">
        <v>148</v>
      </c>
      <c r="AG34" s="6"/>
      <c r="AH34" s="6" t="s">
        <v>217</v>
      </c>
      <c r="AI34" s="6"/>
      <c r="AJ34" s="33" t="s">
        <v>225</v>
      </c>
      <c r="AK34" s="6" t="s">
        <v>884</v>
      </c>
      <c r="AL34" s="2" t="s">
        <v>188</v>
      </c>
      <c r="AM34" s="46" t="s">
        <v>874</v>
      </c>
      <c r="AN34" s="4">
        <v>670867791</v>
      </c>
      <c r="AO34" s="2" t="s">
        <v>188</v>
      </c>
      <c r="AP34" s="33" t="s">
        <v>51</v>
      </c>
      <c r="AQ34" s="203"/>
      <c r="AR34" s="10"/>
      <c r="AS34" s="108" t="s">
        <v>53</v>
      </c>
      <c r="AT34" s="105" t="str">
        <f t="shared" ref="AT34:AT66" si="7">IF(D34="Camp d'unité Ainés","CUA",IF(D34="camp d'unité éclés","CUE",IF(D34="Camp d'unité louveteaux","CULO",IF(D34="Camp d'unité lutins","CULI",IF(D34="Camp de groupe","CG",IF(D34="Camp régional","CR",IF(D34="Camp de regroupement","CGG",IF(D34="Camp de regroupement d'unité Ainés","CRGUA",IF(D34="Camp de regroupement d'unité éclés","CRGUE",IF(D34="Camp de regroupement d'unité louveteaux","CRGULO",IF(D34="Camp de regroupement d'unité lutins","CRGULI",IF(D34="Camp inter groupe","CIG",IF(D34="Séjours adaptés mineurs","SAM",IF(D34="Séjours adaptés adultes","SAA",IF(D34="Séjours ouverts","SOU",IF(D34="Camp régional ouvert","RO"))))))))))))))))</f>
        <v>CUE</v>
      </c>
      <c r="AU34" s="109" t="str">
        <f t="shared" ref="AU34:AU65" si="8">IF(R34&lt;=20,"A",IF(AND(R34&gt;=21,R34&lt;=50),"B",IF(AND(R34&gt;=51,R34&lt;=80),"C",IF(R34&gt;80,"D"))))</f>
        <v>B</v>
      </c>
      <c r="AV34" s="110" t="s">
        <v>359</v>
      </c>
      <c r="AW34" s="111" t="e">
        <f t="shared" si="5"/>
        <v>#DIV/0!</v>
      </c>
    </row>
    <row r="35" spans="1:49" ht="90.75" customHeight="1" thickBot="1" x14ac:dyDescent="0.4">
      <c r="A35" s="120">
        <v>34</v>
      </c>
      <c r="B35" s="2" t="s">
        <v>226</v>
      </c>
      <c r="C35" s="2" t="s">
        <v>175</v>
      </c>
      <c r="D35" s="14" t="s">
        <v>360</v>
      </c>
      <c r="E35" s="7"/>
      <c r="F35" s="7">
        <v>43306</v>
      </c>
      <c r="G35" s="7">
        <v>43327</v>
      </c>
      <c r="H35" s="27">
        <v>0</v>
      </c>
      <c r="I35" s="28">
        <v>0</v>
      </c>
      <c r="J35" s="29">
        <v>0</v>
      </c>
      <c r="K35" s="30">
        <v>0</v>
      </c>
      <c r="L35" s="31">
        <v>0</v>
      </c>
      <c r="M35" s="32">
        <v>0</v>
      </c>
      <c r="N35" s="149">
        <v>5</v>
      </c>
      <c r="O35" s="18">
        <v>2</v>
      </c>
      <c r="P35" s="19">
        <v>0</v>
      </c>
      <c r="Q35" s="35">
        <v>0</v>
      </c>
      <c r="R35" s="74">
        <f t="shared" si="6"/>
        <v>5</v>
      </c>
      <c r="S35" s="75">
        <f t="shared" si="6"/>
        <v>2</v>
      </c>
      <c r="T35" s="8">
        <f t="shared" si="1"/>
        <v>0.4</v>
      </c>
      <c r="U35" s="9">
        <f t="shared" si="2"/>
        <v>7</v>
      </c>
      <c r="V35" s="3"/>
      <c r="W35" s="2"/>
      <c r="X35" s="2"/>
      <c r="Y35" s="2"/>
      <c r="Z35" s="2"/>
      <c r="AA35" s="2"/>
      <c r="AB35" s="2">
        <v>-1</v>
      </c>
      <c r="AC35" s="2"/>
      <c r="AD35" s="2"/>
      <c r="AE35" s="2"/>
      <c r="AF35" s="6" t="s">
        <v>133</v>
      </c>
      <c r="AG35" s="6"/>
      <c r="AH35" s="6" t="s">
        <v>228</v>
      </c>
      <c r="AI35" s="6"/>
      <c r="AJ35" s="33" t="s">
        <v>229</v>
      </c>
      <c r="AK35" s="6" t="s">
        <v>884</v>
      </c>
      <c r="AL35" s="6" t="s">
        <v>230</v>
      </c>
      <c r="AM35" s="46" t="s">
        <v>231</v>
      </c>
      <c r="AN35" s="11">
        <v>628051985</v>
      </c>
      <c r="AO35" s="6" t="s">
        <v>227</v>
      </c>
      <c r="AP35" s="33" t="s">
        <v>87</v>
      </c>
      <c r="AQ35" s="203"/>
      <c r="AR35" s="10"/>
      <c r="AS35" s="108" t="s">
        <v>53</v>
      </c>
      <c r="AT35" s="105" t="str">
        <f t="shared" si="7"/>
        <v>CUA</v>
      </c>
      <c r="AU35" s="109" t="str">
        <f t="shared" si="8"/>
        <v>A</v>
      </c>
      <c r="AV35" s="110" t="s">
        <v>359</v>
      </c>
      <c r="AW35" s="111" t="e">
        <f t="shared" si="5"/>
        <v>#DIV/0!</v>
      </c>
    </row>
    <row r="36" spans="1:49" ht="56.15" customHeight="1" thickBot="1" x14ac:dyDescent="0.4">
      <c r="A36" s="120">
        <v>35</v>
      </c>
      <c r="B36" s="2" t="s">
        <v>232</v>
      </c>
      <c r="C36" s="2" t="s">
        <v>43</v>
      </c>
      <c r="D36" s="2" t="s">
        <v>64</v>
      </c>
      <c r="E36" s="7"/>
      <c r="F36" s="7">
        <v>43290</v>
      </c>
      <c r="G36" s="7">
        <v>43307</v>
      </c>
      <c r="H36" s="123">
        <v>1</v>
      </c>
      <c r="I36" s="139">
        <v>0</v>
      </c>
      <c r="J36" s="124">
        <v>7</v>
      </c>
      <c r="K36" s="125">
        <v>2</v>
      </c>
      <c r="L36" s="126">
        <v>16</v>
      </c>
      <c r="M36" s="32">
        <v>2</v>
      </c>
      <c r="N36" s="153">
        <v>0</v>
      </c>
      <c r="O36" s="147">
        <v>0</v>
      </c>
      <c r="P36" s="165">
        <v>0</v>
      </c>
      <c r="Q36" s="138">
        <v>2</v>
      </c>
      <c r="R36" s="74">
        <f t="shared" si="6"/>
        <v>24</v>
      </c>
      <c r="S36" s="75">
        <f t="shared" si="6"/>
        <v>6</v>
      </c>
      <c r="T36" s="8">
        <f t="shared" si="1"/>
        <v>0.25</v>
      </c>
      <c r="U36" s="9">
        <f t="shared" si="2"/>
        <v>30</v>
      </c>
      <c r="V36" s="3">
        <v>1</v>
      </c>
      <c r="W36" s="2">
        <v>0</v>
      </c>
      <c r="X36" s="2">
        <v>-3</v>
      </c>
      <c r="Y36" s="2">
        <v>-1</v>
      </c>
      <c r="Z36" s="2">
        <v>1</v>
      </c>
      <c r="AA36" s="2">
        <v>0</v>
      </c>
      <c r="AB36" s="2">
        <v>0</v>
      </c>
      <c r="AC36" s="2">
        <v>0</v>
      </c>
      <c r="AD36" s="2">
        <v>0</v>
      </c>
      <c r="AE36" s="2"/>
      <c r="AF36" s="2" t="s">
        <v>65</v>
      </c>
      <c r="AG36" s="6" t="s">
        <v>235</v>
      </c>
      <c r="AH36" s="6"/>
      <c r="AI36" s="6"/>
      <c r="AJ36" s="33" t="s">
        <v>236</v>
      </c>
      <c r="AK36" s="6" t="s">
        <v>883</v>
      </c>
      <c r="AL36" s="6" t="s">
        <v>233</v>
      </c>
      <c r="AM36" s="49" t="s">
        <v>234</v>
      </c>
      <c r="AN36" s="4">
        <v>686645267</v>
      </c>
      <c r="AO36" s="6" t="s">
        <v>233</v>
      </c>
      <c r="AP36" s="33" t="s">
        <v>51</v>
      </c>
      <c r="AQ36" s="203" t="s">
        <v>173</v>
      </c>
      <c r="AR36" s="10" t="s">
        <v>43</v>
      </c>
      <c r="AS36" s="108" t="s">
        <v>53</v>
      </c>
      <c r="AT36" s="105" t="str">
        <f t="shared" si="7"/>
        <v>CG</v>
      </c>
      <c r="AU36" s="109" t="str">
        <f t="shared" si="8"/>
        <v>B</v>
      </c>
      <c r="AV36" s="110" t="s">
        <v>359</v>
      </c>
      <c r="AW36" s="111" t="e">
        <f t="shared" si="5"/>
        <v>#DIV/0!</v>
      </c>
    </row>
    <row r="37" spans="1:49" ht="56.15" customHeight="1" thickBot="1" x14ac:dyDescent="0.4">
      <c r="A37" s="154">
        <v>36</v>
      </c>
      <c r="B37" s="2" t="s">
        <v>237</v>
      </c>
      <c r="C37" s="2" t="s">
        <v>238</v>
      </c>
      <c r="D37" s="2" t="s">
        <v>64</v>
      </c>
      <c r="E37" s="7"/>
      <c r="F37" s="7">
        <v>43289</v>
      </c>
      <c r="G37" s="7">
        <v>43309</v>
      </c>
      <c r="H37" s="152">
        <v>2</v>
      </c>
      <c r="I37" s="139">
        <v>1</v>
      </c>
      <c r="J37" s="150">
        <v>3</v>
      </c>
      <c r="K37" s="134">
        <v>1</v>
      </c>
      <c r="L37" s="132">
        <v>5</v>
      </c>
      <c r="M37" s="136">
        <v>1</v>
      </c>
      <c r="N37" s="153">
        <v>3</v>
      </c>
      <c r="O37" s="147">
        <v>1</v>
      </c>
      <c r="P37" s="19">
        <v>0</v>
      </c>
      <c r="Q37" s="144">
        <v>0</v>
      </c>
      <c r="R37" s="74">
        <f t="shared" si="6"/>
        <v>13</v>
      </c>
      <c r="S37" s="75">
        <f t="shared" si="6"/>
        <v>4</v>
      </c>
      <c r="T37" s="8">
        <f t="shared" si="1"/>
        <v>0.30769230769230771</v>
      </c>
      <c r="U37" s="9">
        <f t="shared" si="2"/>
        <v>17</v>
      </c>
      <c r="V37" s="3"/>
      <c r="W37" s="2"/>
      <c r="X37" s="2"/>
      <c r="Y37" s="2"/>
      <c r="Z37" s="2">
        <v>-2</v>
      </c>
      <c r="AA37" s="2"/>
      <c r="AB37" s="2"/>
      <c r="AC37" s="2"/>
      <c r="AD37" s="2"/>
      <c r="AE37" s="2">
        <v>-1</v>
      </c>
      <c r="AF37" s="2" t="s">
        <v>148</v>
      </c>
      <c r="AG37" s="6" t="s">
        <v>240</v>
      </c>
      <c r="AH37" s="6"/>
      <c r="AI37" s="6"/>
      <c r="AJ37" s="33">
        <v>12131</v>
      </c>
      <c r="AK37" s="6" t="s">
        <v>892</v>
      </c>
      <c r="AL37" s="6" t="s">
        <v>242</v>
      </c>
      <c r="AM37" s="49" t="s">
        <v>243</v>
      </c>
      <c r="AN37" s="11">
        <v>767944409</v>
      </c>
      <c r="AO37" s="6" t="s">
        <v>239</v>
      </c>
      <c r="AP37" s="33" t="s">
        <v>51</v>
      </c>
      <c r="AQ37" s="203" t="s">
        <v>244</v>
      </c>
      <c r="AR37" s="10" t="s">
        <v>52</v>
      </c>
      <c r="AS37" s="108" t="s">
        <v>53</v>
      </c>
      <c r="AT37" s="105" t="str">
        <f t="shared" si="7"/>
        <v>CG</v>
      </c>
      <c r="AU37" s="109" t="str">
        <f t="shared" si="8"/>
        <v>A</v>
      </c>
      <c r="AV37" s="110" t="s">
        <v>359</v>
      </c>
      <c r="AW37" s="111" t="e">
        <f t="shared" si="5"/>
        <v>#DIV/0!</v>
      </c>
    </row>
    <row r="38" spans="1:49" ht="56.15" customHeight="1" thickBot="1" x14ac:dyDescent="0.4">
      <c r="A38" s="154">
        <v>37</v>
      </c>
      <c r="B38" s="2" t="s">
        <v>245</v>
      </c>
      <c r="C38" s="2" t="s">
        <v>246</v>
      </c>
      <c r="D38" s="2" t="s">
        <v>64</v>
      </c>
      <c r="E38" s="7"/>
      <c r="F38" s="7">
        <v>43288</v>
      </c>
      <c r="G38" s="7">
        <v>43309</v>
      </c>
      <c r="H38" s="142">
        <v>12</v>
      </c>
      <c r="I38" s="28">
        <v>4</v>
      </c>
      <c r="J38" s="145">
        <v>18</v>
      </c>
      <c r="K38" s="134">
        <v>4</v>
      </c>
      <c r="L38" s="132">
        <v>16</v>
      </c>
      <c r="M38" s="148">
        <v>4</v>
      </c>
      <c r="N38" s="149">
        <v>11</v>
      </c>
      <c r="O38" s="147">
        <v>2</v>
      </c>
      <c r="P38" s="19">
        <v>0</v>
      </c>
      <c r="Q38" s="127">
        <v>8</v>
      </c>
      <c r="R38" s="74">
        <f t="shared" si="6"/>
        <v>57</v>
      </c>
      <c r="S38" s="75">
        <f t="shared" si="6"/>
        <v>22</v>
      </c>
      <c r="T38" s="8">
        <f t="shared" si="1"/>
        <v>0.38596491228070173</v>
      </c>
      <c r="U38" s="9">
        <f t="shared" si="2"/>
        <v>79</v>
      </c>
      <c r="V38" s="3">
        <v>-3</v>
      </c>
      <c r="W38" s="2"/>
      <c r="X38" s="2">
        <v>-2</v>
      </c>
      <c r="Y38" s="2"/>
      <c r="Z38" s="2">
        <v>-5</v>
      </c>
      <c r="AA38" s="2">
        <v>-1</v>
      </c>
      <c r="AB38" s="2">
        <v>-1</v>
      </c>
      <c r="AC38" s="2"/>
      <c r="AD38" s="2"/>
      <c r="AE38" s="2">
        <v>2</v>
      </c>
      <c r="AF38" s="2" t="s">
        <v>65</v>
      </c>
      <c r="AG38" s="6" t="s">
        <v>248</v>
      </c>
      <c r="AH38" s="6"/>
      <c r="AI38" s="6"/>
      <c r="AJ38" s="33" t="s">
        <v>249</v>
      </c>
      <c r="AK38" s="6" t="s">
        <v>887</v>
      </c>
      <c r="AL38" s="6" t="s">
        <v>250</v>
      </c>
      <c r="AM38" s="49" t="s">
        <v>251</v>
      </c>
      <c r="AN38" s="11">
        <v>649520510</v>
      </c>
      <c r="AO38" s="6" t="s">
        <v>247</v>
      </c>
      <c r="AP38" s="33" t="s">
        <v>51</v>
      </c>
      <c r="AQ38" s="203" t="s">
        <v>252</v>
      </c>
      <c r="AR38" s="10" t="s">
        <v>43</v>
      </c>
      <c r="AS38" s="108" t="s">
        <v>53</v>
      </c>
      <c r="AT38" s="105" t="str">
        <f t="shared" si="7"/>
        <v>CG</v>
      </c>
      <c r="AU38" s="109" t="str">
        <f t="shared" si="8"/>
        <v>C</v>
      </c>
      <c r="AV38" s="110" t="s">
        <v>359</v>
      </c>
      <c r="AW38" s="111" t="e">
        <f t="shared" si="5"/>
        <v>#DIV/0!</v>
      </c>
    </row>
    <row r="39" spans="1:49" ht="56.15" customHeight="1" thickBot="1" x14ac:dyDescent="0.4">
      <c r="A39" s="120">
        <v>38</v>
      </c>
      <c r="B39" s="2" t="s">
        <v>220</v>
      </c>
      <c r="C39" s="2" t="s">
        <v>52</v>
      </c>
      <c r="D39" s="2" t="s">
        <v>205</v>
      </c>
      <c r="E39" s="7"/>
      <c r="F39" s="7">
        <v>43313</v>
      </c>
      <c r="G39" s="7">
        <v>43322</v>
      </c>
      <c r="H39" s="27">
        <v>0</v>
      </c>
      <c r="I39" s="28">
        <v>0</v>
      </c>
      <c r="J39" s="29">
        <v>0</v>
      </c>
      <c r="K39" s="30">
        <v>0</v>
      </c>
      <c r="L39" s="132">
        <v>5</v>
      </c>
      <c r="M39" s="148">
        <v>1</v>
      </c>
      <c r="N39" s="146">
        <v>2</v>
      </c>
      <c r="O39" s="167">
        <v>1</v>
      </c>
      <c r="P39" s="19">
        <v>0</v>
      </c>
      <c r="Q39" s="35">
        <v>0</v>
      </c>
      <c r="R39" s="74">
        <f t="shared" si="6"/>
        <v>7</v>
      </c>
      <c r="S39" s="75">
        <f t="shared" si="6"/>
        <v>2</v>
      </c>
      <c r="T39" s="8">
        <f t="shared" si="1"/>
        <v>0.2857142857142857</v>
      </c>
      <c r="U39" s="9">
        <f t="shared" si="2"/>
        <v>9</v>
      </c>
      <c r="V39" s="3"/>
      <c r="W39" s="2"/>
      <c r="X39" s="2"/>
      <c r="Y39" s="2"/>
      <c r="Z39" s="2">
        <v>-3</v>
      </c>
      <c r="AA39" s="2">
        <v>-3</v>
      </c>
      <c r="AB39" s="2">
        <v>2</v>
      </c>
      <c r="AC39" s="2">
        <v>1</v>
      </c>
      <c r="AD39" s="2"/>
      <c r="AE39" s="2"/>
      <c r="AF39" s="2" t="s">
        <v>65</v>
      </c>
      <c r="AG39" s="6" t="s">
        <v>133</v>
      </c>
      <c r="AH39" s="6"/>
      <c r="AI39" s="6"/>
      <c r="AJ39" s="33" t="s">
        <v>253</v>
      </c>
      <c r="AK39" s="6" t="s">
        <v>880</v>
      </c>
      <c r="AL39" s="6" t="s">
        <v>222</v>
      </c>
      <c r="AM39" s="46" t="s">
        <v>223</v>
      </c>
      <c r="AN39" s="11">
        <v>633393908</v>
      </c>
      <c r="AO39" s="6" t="s">
        <v>224</v>
      </c>
      <c r="AP39" s="33" t="s">
        <v>122</v>
      </c>
      <c r="AQ39" s="203"/>
      <c r="AR39" s="10"/>
      <c r="AS39" s="108" t="s">
        <v>53</v>
      </c>
      <c r="AT39" s="105" t="str">
        <f t="shared" si="7"/>
        <v>CUE</v>
      </c>
      <c r="AU39" s="109" t="str">
        <f t="shared" si="8"/>
        <v>A</v>
      </c>
      <c r="AV39" s="110" t="s">
        <v>359</v>
      </c>
      <c r="AW39" s="111" t="e">
        <f t="shared" si="5"/>
        <v>#DIV/0!</v>
      </c>
    </row>
    <row r="40" spans="1:49" ht="67.5" customHeight="1" thickBot="1" x14ac:dyDescent="0.4">
      <c r="A40" s="120">
        <v>39</v>
      </c>
      <c r="B40" s="2" t="s">
        <v>254</v>
      </c>
      <c r="C40" s="2" t="s">
        <v>52</v>
      </c>
      <c r="D40" s="2" t="s">
        <v>64</v>
      </c>
      <c r="E40" s="7"/>
      <c r="F40" s="7">
        <v>43290</v>
      </c>
      <c r="G40" s="7">
        <v>43310</v>
      </c>
      <c r="H40" s="152">
        <v>0</v>
      </c>
      <c r="I40" s="139">
        <v>0</v>
      </c>
      <c r="J40" s="145">
        <v>12</v>
      </c>
      <c r="K40" s="134">
        <v>5</v>
      </c>
      <c r="L40" s="132">
        <v>39</v>
      </c>
      <c r="M40" s="136">
        <v>7</v>
      </c>
      <c r="N40" s="153">
        <v>0</v>
      </c>
      <c r="O40" s="147">
        <v>0</v>
      </c>
      <c r="P40" s="19">
        <v>0</v>
      </c>
      <c r="Q40" s="35">
        <v>0</v>
      </c>
      <c r="R40" s="74">
        <f t="shared" si="6"/>
        <v>51</v>
      </c>
      <c r="S40" s="75">
        <f t="shared" si="6"/>
        <v>12</v>
      </c>
      <c r="T40" s="8">
        <f t="shared" si="1"/>
        <v>0.23529411764705882</v>
      </c>
      <c r="U40" s="9">
        <f t="shared" si="2"/>
        <v>63</v>
      </c>
      <c r="V40" s="3"/>
      <c r="W40" s="2"/>
      <c r="X40" s="2">
        <v>-1</v>
      </c>
      <c r="Y40" s="2"/>
      <c r="Z40" s="2">
        <v>-1</v>
      </c>
      <c r="AA40" s="2"/>
      <c r="AB40" s="2"/>
      <c r="AC40" s="2"/>
      <c r="AD40" s="2"/>
      <c r="AE40" s="2"/>
      <c r="AF40" s="2" t="s">
        <v>148</v>
      </c>
      <c r="AG40" s="6" t="s">
        <v>57</v>
      </c>
      <c r="AH40" s="6"/>
      <c r="AI40" s="6"/>
      <c r="AJ40" s="33" t="s">
        <v>925</v>
      </c>
      <c r="AK40" s="6" t="s">
        <v>881</v>
      </c>
      <c r="AL40" s="6" t="s">
        <v>256</v>
      </c>
      <c r="AM40" s="49" t="s">
        <v>257</v>
      </c>
      <c r="AN40" s="11">
        <v>678036467</v>
      </c>
      <c r="AO40" s="6" t="s">
        <v>255</v>
      </c>
      <c r="AP40" s="33" t="s">
        <v>51</v>
      </c>
      <c r="AQ40" s="203" t="s">
        <v>108</v>
      </c>
      <c r="AR40" s="10" t="s">
        <v>54</v>
      </c>
      <c r="AS40" s="108" t="s">
        <v>53</v>
      </c>
      <c r="AT40" s="105" t="str">
        <f t="shared" si="7"/>
        <v>CG</v>
      </c>
      <c r="AU40" s="109" t="str">
        <f t="shared" si="8"/>
        <v>C</v>
      </c>
      <c r="AV40" s="110" t="s">
        <v>359</v>
      </c>
      <c r="AW40" s="111" t="e">
        <f t="shared" si="5"/>
        <v>#DIV/0!</v>
      </c>
    </row>
    <row r="41" spans="1:49" ht="56.15" customHeight="1" thickBot="1" x14ac:dyDescent="0.4">
      <c r="A41" s="120">
        <v>40</v>
      </c>
      <c r="B41" s="2" t="s">
        <v>258</v>
      </c>
      <c r="C41" s="2" t="s">
        <v>52</v>
      </c>
      <c r="D41" s="2" t="s">
        <v>361</v>
      </c>
      <c r="E41" s="7"/>
      <c r="F41" s="7">
        <v>43290</v>
      </c>
      <c r="G41" s="7">
        <v>43296</v>
      </c>
      <c r="H41" s="142">
        <v>13</v>
      </c>
      <c r="I41" s="139">
        <v>5</v>
      </c>
      <c r="J41" s="150">
        <v>0</v>
      </c>
      <c r="K41" s="134">
        <v>0</v>
      </c>
      <c r="L41" s="166">
        <v>0</v>
      </c>
      <c r="M41" s="136">
        <v>0</v>
      </c>
      <c r="N41" s="153">
        <v>0</v>
      </c>
      <c r="O41" s="147">
        <v>0</v>
      </c>
      <c r="P41" s="165">
        <v>0</v>
      </c>
      <c r="Q41" s="138">
        <v>0</v>
      </c>
      <c r="R41" s="74">
        <f t="shared" si="6"/>
        <v>13</v>
      </c>
      <c r="S41" s="75">
        <f t="shared" si="6"/>
        <v>5</v>
      </c>
      <c r="T41" s="8">
        <f t="shared" si="1"/>
        <v>0.38461538461538464</v>
      </c>
      <c r="U41" s="9">
        <f t="shared" si="2"/>
        <v>18</v>
      </c>
      <c r="V41" s="3">
        <v>-7</v>
      </c>
      <c r="W41" s="2"/>
      <c r="X41" s="2"/>
      <c r="Y41" s="2"/>
      <c r="Z41" s="2"/>
      <c r="AA41" s="2"/>
      <c r="AB41" s="2"/>
      <c r="AC41" s="2"/>
      <c r="AD41" s="2"/>
      <c r="AE41" s="2"/>
      <c r="AF41" s="2" t="s">
        <v>65</v>
      </c>
      <c r="AG41" s="6" t="s">
        <v>338</v>
      </c>
      <c r="AH41" s="6"/>
      <c r="AI41" s="6"/>
      <c r="AJ41" s="33" t="s">
        <v>260</v>
      </c>
      <c r="AK41" s="6" t="s">
        <v>883</v>
      </c>
      <c r="AL41" s="6" t="s">
        <v>261</v>
      </c>
      <c r="AM41" s="49" t="s">
        <v>262</v>
      </c>
      <c r="AN41" s="11">
        <v>651101926</v>
      </c>
      <c r="AO41" s="6" t="s">
        <v>259</v>
      </c>
      <c r="AP41" s="33" t="s">
        <v>51</v>
      </c>
      <c r="AQ41" s="203" t="s">
        <v>244</v>
      </c>
      <c r="AR41" s="10" t="s">
        <v>52</v>
      </c>
      <c r="AS41" s="108" t="s">
        <v>53</v>
      </c>
      <c r="AT41" s="105" t="str">
        <f t="shared" si="7"/>
        <v>CULI</v>
      </c>
      <c r="AU41" s="109" t="str">
        <f t="shared" si="8"/>
        <v>A</v>
      </c>
      <c r="AV41" s="110" t="s">
        <v>359</v>
      </c>
      <c r="AW41" s="111" t="e">
        <f t="shared" si="5"/>
        <v>#DIV/0!</v>
      </c>
    </row>
    <row r="42" spans="1:49" ht="56.15" customHeight="1" thickBot="1" x14ac:dyDescent="0.4">
      <c r="A42" s="120">
        <v>41</v>
      </c>
      <c r="B42" s="2" t="s">
        <v>258</v>
      </c>
      <c r="C42" s="2" t="s">
        <v>52</v>
      </c>
      <c r="D42" s="2" t="s">
        <v>205</v>
      </c>
      <c r="E42" s="7"/>
      <c r="F42" s="7">
        <v>43288</v>
      </c>
      <c r="G42" s="7">
        <v>43303</v>
      </c>
      <c r="H42" s="152">
        <v>0</v>
      </c>
      <c r="I42" s="139">
        <v>0</v>
      </c>
      <c r="J42" s="150">
        <v>0</v>
      </c>
      <c r="K42" s="134">
        <v>0</v>
      </c>
      <c r="L42" s="166">
        <v>24</v>
      </c>
      <c r="M42" s="136">
        <v>4</v>
      </c>
      <c r="N42" s="153">
        <v>0</v>
      </c>
      <c r="O42" s="147">
        <v>0</v>
      </c>
      <c r="P42" s="165">
        <v>0</v>
      </c>
      <c r="Q42" s="144">
        <v>0</v>
      </c>
      <c r="R42" s="74">
        <f t="shared" si="6"/>
        <v>24</v>
      </c>
      <c r="S42" s="75">
        <f t="shared" si="6"/>
        <v>4</v>
      </c>
      <c r="T42" s="8">
        <f t="shared" si="1"/>
        <v>0.16666666666666666</v>
      </c>
      <c r="U42" s="9">
        <f t="shared" si="2"/>
        <v>28</v>
      </c>
      <c r="V42" s="3"/>
      <c r="W42" s="2"/>
      <c r="X42" s="2"/>
      <c r="Y42" s="2"/>
      <c r="Z42" s="2"/>
      <c r="AA42" s="2"/>
      <c r="AB42" s="2"/>
      <c r="AC42" s="2"/>
      <c r="AD42" s="2"/>
      <c r="AE42" s="2">
        <v>-1</v>
      </c>
      <c r="AF42" s="2" t="s">
        <v>148</v>
      </c>
      <c r="AG42" s="6" t="s">
        <v>338</v>
      </c>
      <c r="AH42" s="6"/>
      <c r="AI42" s="6"/>
      <c r="AJ42" s="33" t="s">
        <v>260</v>
      </c>
      <c r="AK42" s="6" t="s">
        <v>883</v>
      </c>
      <c r="AL42" s="6" t="s">
        <v>263</v>
      </c>
      <c r="AM42" s="49" t="s">
        <v>264</v>
      </c>
      <c r="AN42" s="11">
        <v>611661960</v>
      </c>
      <c r="AO42" s="6" t="s">
        <v>259</v>
      </c>
      <c r="AP42" s="33" t="s">
        <v>51</v>
      </c>
      <c r="AQ42" s="203" t="s">
        <v>244</v>
      </c>
      <c r="AR42" s="10" t="s">
        <v>52</v>
      </c>
      <c r="AS42" s="108" t="s">
        <v>53</v>
      </c>
      <c r="AT42" s="105" t="str">
        <f t="shared" si="7"/>
        <v>CUE</v>
      </c>
      <c r="AU42" s="109" t="str">
        <f t="shared" si="8"/>
        <v>B</v>
      </c>
      <c r="AV42" s="110" t="s">
        <v>359</v>
      </c>
      <c r="AW42" s="111" t="e">
        <f t="shared" si="5"/>
        <v>#DIV/0!</v>
      </c>
    </row>
    <row r="43" spans="1:49" ht="56.15" customHeight="1" thickBot="1" x14ac:dyDescent="0.4">
      <c r="A43" s="120">
        <v>42</v>
      </c>
      <c r="B43" s="2" t="s">
        <v>265</v>
      </c>
      <c r="C43" s="2" t="s">
        <v>52</v>
      </c>
      <c r="D43" s="2" t="s">
        <v>70</v>
      </c>
      <c r="E43" s="7" t="s">
        <v>268</v>
      </c>
      <c r="F43" s="7">
        <v>43304</v>
      </c>
      <c r="G43" s="7">
        <v>43320</v>
      </c>
      <c r="H43" s="27">
        <v>0</v>
      </c>
      <c r="I43" s="139">
        <v>0</v>
      </c>
      <c r="J43" s="150">
        <v>0</v>
      </c>
      <c r="K43" s="134">
        <v>0</v>
      </c>
      <c r="L43" s="166">
        <v>0</v>
      </c>
      <c r="M43" s="136">
        <v>0</v>
      </c>
      <c r="N43" s="153">
        <v>15</v>
      </c>
      <c r="O43" s="147">
        <v>3</v>
      </c>
      <c r="P43" s="165">
        <v>0</v>
      </c>
      <c r="Q43" s="138">
        <v>0</v>
      </c>
      <c r="R43" s="74">
        <f t="shared" si="6"/>
        <v>15</v>
      </c>
      <c r="S43" s="75">
        <f t="shared" si="6"/>
        <v>3</v>
      </c>
      <c r="T43" s="8">
        <f t="shared" si="1"/>
        <v>0.2</v>
      </c>
      <c r="U43" s="9">
        <f t="shared" si="2"/>
        <v>18</v>
      </c>
      <c r="V43" s="3"/>
      <c r="W43" s="2"/>
      <c r="X43" s="2"/>
      <c r="Y43" s="2"/>
      <c r="Z43" s="2"/>
      <c r="AA43" s="2"/>
      <c r="AB43" s="2"/>
      <c r="AC43" s="2"/>
      <c r="AD43" s="2"/>
      <c r="AE43" s="2"/>
      <c r="AF43" s="2" t="s">
        <v>65</v>
      </c>
      <c r="AG43" s="6"/>
      <c r="AH43" s="6" t="s">
        <v>269</v>
      </c>
      <c r="AI43" s="6"/>
      <c r="AJ43" s="33" t="s">
        <v>270</v>
      </c>
      <c r="AK43" s="6" t="s">
        <v>884</v>
      </c>
      <c r="AL43" s="6" t="s">
        <v>266</v>
      </c>
      <c r="AM43" s="46" t="s">
        <v>267</v>
      </c>
      <c r="AN43" s="4">
        <v>789699112</v>
      </c>
      <c r="AO43" s="6" t="s">
        <v>266</v>
      </c>
      <c r="AP43" s="33" t="s">
        <v>87</v>
      </c>
      <c r="AQ43" s="203"/>
      <c r="AR43" s="10"/>
      <c r="AS43" s="108" t="s">
        <v>53</v>
      </c>
      <c r="AT43" s="105" t="str">
        <f t="shared" si="7"/>
        <v>CRGUA</v>
      </c>
      <c r="AU43" s="109" t="str">
        <f t="shared" si="8"/>
        <v>A</v>
      </c>
      <c r="AV43" s="110" t="s">
        <v>359</v>
      </c>
      <c r="AW43" s="111" t="e">
        <f t="shared" si="5"/>
        <v>#DIV/0!</v>
      </c>
    </row>
    <row r="44" spans="1:49" ht="56.15" customHeight="1" thickBot="1" x14ac:dyDescent="0.4">
      <c r="A44" s="120">
        <v>43</v>
      </c>
      <c r="B44" s="2" t="s">
        <v>265</v>
      </c>
      <c r="C44" s="2" t="s">
        <v>52</v>
      </c>
      <c r="D44" s="2" t="s">
        <v>361</v>
      </c>
      <c r="E44" s="7"/>
      <c r="F44" s="7">
        <v>43289</v>
      </c>
      <c r="G44" s="7">
        <v>43299</v>
      </c>
      <c r="H44" s="142">
        <v>6</v>
      </c>
      <c r="I44" s="168">
        <v>2</v>
      </c>
      <c r="J44" s="150">
        <v>0</v>
      </c>
      <c r="K44" s="134">
        <v>0</v>
      </c>
      <c r="L44" s="166">
        <v>0</v>
      </c>
      <c r="M44" s="136">
        <v>0</v>
      </c>
      <c r="N44" s="153">
        <v>0</v>
      </c>
      <c r="O44" s="147">
        <v>0</v>
      </c>
      <c r="P44" s="165">
        <v>0</v>
      </c>
      <c r="Q44" s="138">
        <v>0</v>
      </c>
      <c r="R44" s="74">
        <f t="shared" si="6"/>
        <v>6</v>
      </c>
      <c r="S44" s="75">
        <f t="shared" si="6"/>
        <v>2</v>
      </c>
      <c r="T44" s="8">
        <f t="shared" si="1"/>
        <v>0.33333333333333331</v>
      </c>
      <c r="U44" s="9">
        <f t="shared" si="2"/>
        <v>8</v>
      </c>
      <c r="V44" s="3">
        <v>-14</v>
      </c>
      <c r="W44" s="2">
        <v>-1</v>
      </c>
      <c r="X44" s="2"/>
      <c r="Y44" s="2"/>
      <c r="Z44" s="2"/>
      <c r="AA44" s="2"/>
      <c r="AB44" s="2"/>
      <c r="AC44" s="2"/>
      <c r="AD44" s="2"/>
      <c r="AE44" s="2"/>
      <c r="AF44" s="2" t="s">
        <v>148</v>
      </c>
      <c r="AG44" s="6" t="s">
        <v>240</v>
      </c>
      <c r="AH44" s="6"/>
      <c r="AI44" s="6"/>
      <c r="AJ44" s="33">
        <v>12131</v>
      </c>
      <c r="AK44" s="6" t="s">
        <v>892</v>
      </c>
      <c r="AL44" s="6" t="s">
        <v>271</v>
      </c>
      <c r="AM44" s="49" t="s">
        <v>272</v>
      </c>
      <c r="AN44" s="11">
        <v>631731631</v>
      </c>
      <c r="AO44" s="6" t="s">
        <v>266</v>
      </c>
      <c r="AP44" s="33" t="s">
        <v>51</v>
      </c>
      <c r="AQ44" s="203" t="s">
        <v>244</v>
      </c>
      <c r="AR44" s="10" t="s">
        <v>52</v>
      </c>
      <c r="AS44" s="108" t="s">
        <v>53</v>
      </c>
      <c r="AT44" s="105" t="str">
        <f t="shared" si="7"/>
        <v>CULI</v>
      </c>
      <c r="AU44" s="109" t="str">
        <f t="shared" si="8"/>
        <v>A</v>
      </c>
      <c r="AV44" s="110" t="s">
        <v>359</v>
      </c>
      <c r="AW44" s="111" t="e">
        <f t="shared" si="5"/>
        <v>#DIV/0!</v>
      </c>
    </row>
    <row r="45" spans="1:49" ht="56.15" customHeight="1" thickBot="1" x14ac:dyDescent="0.4">
      <c r="A45" s="120">
        <v>44</v>
      </c>
      <c r="B45" s="2" t="s">
        <v>265</v>
      </c>
      <c r="C45" s="2" t="s">
        <v>52</v>
      </c>
      <c r="D45" s="2" t="s">
        <v>64</v>
      </c>
      <c r="E45" s="7"/>
      <c r="F45" s="7">
        <v>43289</v>
      </c>
      <c r="G45" s="7">
        <v>43303</v>
      </c>
      <c r="H45" s="152">
        <v>0</v>
      </c>
      <c r="I45" s="139">
        <v>0</v>
      </c>
      <c r="J45" s="145">
        <v>15</v>
      </c>
      <c r="K45" s="143">
        <v>4</v>
      </c>
      <c r="L45" s="126">
        <v>29</v>
      </c>
      <c r="M45" s="130">
        <v>7</v>
      </c>
      <c r="N45" s="153">
        <v>0</v>
      </c>
      <c r="O45" s="147">
        <v>0</v>
      </c>
      <c r="P45" s="165">
        <v>0</v>
      </c>
      <c r="Q45" s="127">
        <v>3</v>
      </c>
      <c r="R45" s="74">
        <f t="shared" si="6"/>
        <v>44</v>
      </c>
      <c r="S45" s="75">
        <f t="shared" si="6"/>
        <v>14</v>
      </c>
      <c r="T45" s="8">
        <f t="shared" si="1"/>
        <v>0.31818181818181818</v>
      </c>
      <c r="U45" s="9">
        <f t="shared" si="2"/>
        <v>58</v>
      </c>
      <c r="V45" s="3"/>
      <c r="W45" s="2"/>
      <c r="X45" s="2">
        <v>-10</v>
      </c>
      <c r="Y45" s="2">
        <v>-1</v>
      </c>
      <c r="Z45" s="2">
        <v>9</v>
      </c>
      <c r="AA45" s="2">
        <v>2</v>
      </c>
      <c r="AB45" s="2"/>
      <c r="AC45" s="2"/>
      <c r="AD45" s="2"/>
      <c r="AE45" s="2">
        <v>1</v>
      </c>
      <c r="AF45" s="2" t="s">
        <v>148</v>
      </c>
      <c r="AG45" s="6" t="s">
        <v>240</v>
      </c>
      <c r="AH45" s="6"/>
      <c r="AI45" s="6"/>
      <c r="AJ45" s="33">
        <v>12131</v>
      </c>
      <c r="AK45" s="6" t="s">
        <v>892</v>
      </c>
      <c r="AL45" s="6" t="s">
        <v>273</v>
      </c>
      <c r="AM45" s="46" t="s">
        <v>274</v>
      </c>
      <c r="AN45" s="11">
        <v>684477600</v>
      </c>
      <c r="AO45" s="6" t="s">
        <v>273</v>
      </c>
      <c r="AP45" s="33" t="s">
        <v>51</v>
      </c>
      <c r="AQ45" s="203" t="s">
        <v>244</v>
      </c>
      <c r="AR45" s="10" t="s">
        <v>52</v>
      </c>
      <c r="AS45" s="108" t="s">
        <v>53</v>
      </c>
      <c r="AT45" s="105" t="str">
        <f t="shared" si="7"/>
        <v>CG</v>
      </c>
      <c r="AU45" s="109" t="str">
        <f t="shared" si="8"/>
        <v>B</v>
      </c>
      <c r="AV45" s="110" t="s">
        <v>359</v>
      </c>
      <c r="AW45" s="111" t="e">
        <f t="shared" si="5"/>
        <v>#DIV/0!</v>
      </c>
    </row>
    <row r="46" spans="1:49" ht="56.15" customHeight="1" thickBot="1" x14ac:dyDescent="0.4">
      <c r="A46" s="120">
        <v>45</v>
      </c>
      <c r="B46" s="2" t="s">
        <v>258</v>
      </c>
      <c r="C46" s="2" t="s">
        <v>52</v>
      </c>
      <c r="D46" s="2" t="s">
        <v>178</v>
      </c>
      <c r="E46" s="7"/>
      <c r="F46" s="7">
        <v>43290</v>
      </c>
      <c r="G46" s="7">
        <v>43303</v>
      </c>
      <c r="H46" s="152">
        <v>0</v>
      </c>
      <c r="I46" s="139">
        <v>0</v>
      </c>
      <c r="J46" s="145">
        <v>14</v>
      </c>
      <c r="K46" s="134">
        <v>5</v>
      </c>
      <c r="L46" s="31">
        <v>0</v>
      </c>
      <c r="M46" s="32">
        <v>0</v>
      </c>
      <c r="N46" s="17">
        <v>0</v>
      </c>
      <c r="O46" s="18">
        <v>0</v>
      </c>
      <c r="P46" s="19">
        <v>0</v>
      </c>
      <c r="Q46" s="144">
        <v>0</v>
      </c>
      <c r="R46" s="74">
        <f t="shared" si="6"/>
        <v>14</v>
      </c>
      <c r="S46" s="75">
        <f t="shared" si="6"/>
        <v>5</v>
      </c>
      <c r="T46" s="8">
        <f t="shared" si="1"/>
        <v>0.35714285714285715</v>
      </c>
      <c r="U46" s="9">
        <f t="shared" si="2"/>
        <v>19</v>
      </c>
      <c r="V46" s="3"/>
      <c r="W46" s="2"/>
      <c r="X46" s="2">
        <v>-4</v>
      </c>
      <c r="Y46" s="2"/>
      <c r="Z46" s="2"/>
      <c r="AA46" s="2"/>
      <c r="AB46" s="2"/>
      <c r="AC46" s="2"/>
      <c r="AD46" s="2"/>
      <c r="AE46" s="2">
        <v>-1</v>
      </c>
      <c r="AF46" s="2" t="s">
        <v>148</v>
      </c>
      <c r="AG46" s="6" t="s">
        <v>338</v>
      </c>
      <c r="AH46" s="6"/>
      <c r="AI46" s="6"/>
      <c r="AJ46" s="33" t="s">
        <v>260</v>
      </c>
      <c r="AK46" s="6" t="s">
        <v>883</v>
      </c>
      <c r="AL46" s="6" t="s">
        <v>275</v>
      </c>
      <c r="AM46" s="49" t="s">
        <v>276</v>
      </c>
      <c r="AN46" s="11">
        <v>604042466</v>
      </c>
      <c r="AO46" s="6" t="s">
        <v>259</v>
      </c>
      <c r="AP46" s="33" t="s">
        <v>51</v>
      </c>
      <c r="AQ46" s="203" t="s">
        <v>244</v>
      </c>
      <c r="AR46" s="10" t="s">
        <v>52</v>
      </c>
      <c r="AS46" s="108" t="s">
        <v>53</v>
      </c>
      <c r="AT46" s="105" t="str">
        <f t="shared" si="7"/>
        <v>CULO</v>
      </c>
      <c r="AU46" s="109" t="str">
        <f t="shared" si="8"/>
        <v>A</v>
      </c>
      <c r="AV46" s="110" t="s">
        <v>359</v>
      </c>
      <c r="AW46" s="111" t="e">
        <f t="shared" si="5"/>
        <v>#DIV/0!</v>
      </c>
    </row>
    <row r="47" spans="1:49" ht="56.15" customHeight="1" thickBot="1" x14ac:dyDescent="0.4">
      <c r="A47" s="154">
        <v>46</v>
      </c>
      <c r="B47" s="2" t="s">
        <v>277</v>
      </c>
      <c r="C47" s="2" t="s">
        <v>131</v>
      </c>
      <c r="D47" s="2" t="s">
        <v>64</v>
      </c>
      <c r="E47" s="7"/>
      <c r="F47" s="7">
        <v>43289</v>
      </c>
      <c r="G47" s="7">
        <v>43303</v>
      </c>
      <c r="H47" s="123">
        <v>17</v>
      </c>
      <c r="I47" s="139">
        <v>4</v>
      </c>
      <c r="J47" s="150">
        <v>20</v>
      </c>
      <c r="K47" s="131">
        <v>5</v>
      </c>
      <c r="L47" s="126">
        <v>16</v>
      </c>
      <c r="M47" s="136">
        <v>4</v>
      </c>
      <c r="N47" s="153">
        <v>0</v>
      </c>
      <c r="O47" s="147">
        <v>0</v>
      </c>
      <c r="P47" s="19">
        <v>0</v>
      </c>
      <c r="Q47" s="127">
        <v>3</v>
      </c>
      <c r="R47" s="74">
        <f t="shared" si="6"/>
        <v>53</v>
      </c>
      <c r="S47" s="75">
        <f t="shared" si="6"/>
        <v>16</v>
      </c>
      <c r="T47" s="8">
        <f t="shared" si="1"/>
        <v>0.30188679245283018</v>
      </c>
      <c r="U47" s="9">
        <f t="shared" si="2"/>
        <v>69</v>
      </c>
      <c r="V47" s="3">
        <v>2</v>
      </c>
      <c r="W47" s="2"/>
      <c r="X47" s="2"/>
      <c r="Y47" s="2">
        <v>1</v>
      </c>
      <c r="Z47" s="2">
        <v>1</v>
      </c>
      <c r="AA47" s="2"/>
      <c r="AB47" s="2"/>
      <c r="AC47" s="2"/>
      <c r="AD47" s="2"/>
      <c r="AE47" s="2">
        <v>1</v>
      </c>
      <c r="AF47" s="2" t="s">
        <v>148</v>
      </c>
      <c r="AG47" s="6" t="s">
        <v>339</v>
      </c>
      <c r="AH47" s="6"/>
      <c r="AI47" s="6"/>
      <c r="AJ47" s="33" t="s">
        <v>279</v>
      </c>
      <c r="AK47" s="6" t="s">
        <v>887</v>
      </c>
      <c r="AL47" s="6" t="s">
        <v>280</v>
      </c>
      <c r="AM47" s="46" t="s">
        <v>281</v>
      </c>
      <c r="AN47" s="11">
        <v>672601612</v>
      </c>
      <c r="AO47" s="6" t="s">
        <v>278</v>
      </c>
      <c r="AP47" s="33" t="s">
        <v>51</v>
      </c>
      <c r="AQ47" s="203" t="s">
        <v>130</v>
      </c>
      <c r="AR47" s="10" t="s">
        <v>131</v>
      </c>
      <c r="AS47" s="108" t="s">
        <v>53</v>
      </c>
      <c r="AT47" s="105" t="str">
        <f t="shared" si="7"/>
        <v>CG</v>
      </c>
      <c r="AU47" s="109" t="str">
        <f t="shared" si="8"/>
        <v>C</v>
      </c>
      <c r="AV47" s="110" t="s">
        <v>359</v>
      </c>
      <c r="AW47" s="111" t="e">
        <f t="shared" si="5"/>
        <v>#DIV/0!</v>
      </c>
    </row>
    <row r="48" spans="1:49" ht="56.15" customHeight="1" thickBot="1" x14ac:dyDescent="0.4">
      <c r="A48" s="154">
        <v>47</v>
      </c>
      <c r="B48" s="2" t="s">
        <v>283</v>
      </c>
      <c r="C48" s="2" t="s">
        <v>131</v>
      </c>
      <c r="D48" s="2" t="s">
        <v>64</v>
      </c>
      <c r="E48" s="7"/>
      <c r="F48" s="7">
        <v>43289</v>
      </c>
      <c r="G48" s="7">
        <v>43306</v>
      </c>
      <c r="H48" s="142">
        <v>9</v>
      </c>
      <c r="I48" s="133">
        <v>3</v>
      </c>
      <c r="J48" s="145">
        <v>9</v>
      </c>
      <c r="K48" s="134">
        <v>2</v>
      </c>
      <c r="L48" s="126">
        <v>13</v>
      </c>
      <c r="M48" s="136">
        <v>2</v>
      </c>
      <c r="N48" s="153">
        <v>0</v>
      </c>
      <c r="O48" s="147">
        <v>0</v>
      </c>
      <c r="P48" s="165">
        <v>0</v>
      </c>
      <c r="Q48" s="144">
        <v>0</v>
      </c>
      <c r="R48" s="74">
        <f t="shared" si="6"/>
        <v>31</v>
      </c>
      <c r="S48" s="75">
        <f t="shared" si="6"/>
        <v>7</v>
      </c>
      <c r="T48" s="8">
        <f t="shared" si="1"/>
        <v>0.22580645161290322</v>
      </c>
      <c r="U48" s="9">
        <f t="shared" si="2"/>
        <v>38</v>
      </c>
      <c r="V48" s="3">
        <v>-2</v>
      </c>
      <c r="W48" s="2">
        <v>1</v>
      </c>
      <c r="X48" s="2">
        <v>-2</v>
      </c>
      <c r="Y48" s="2"/>
      <c r="Z48" s="2">
        <v>5</v>
      </c>
      <c r="AA48" s="2"/>
      <c r="AB48" s="2"/>
      <c r="AC48" s="2"/>
      <c r="AD48" s="2"/>
      <c r="AE48" s="2">
        <v>-2</v>
      </c>
      <c r="AF48" s="2" t="s">
        <v>65</v>
      </c>
      <c r="AG48" s="6" t="s">
        <v>340</v>
      </c>
      <c r="AH48" s="6"/>
      <c r="AI48" s="6"/>
      <c r="AJ48" s="33" t="s">
        <v>284</v>
      </c>
      <c r="AK48" s="6" t="s">
        <v>890</v>
      </c>
      <c r="AL48" s="6" t="s">
        <v>285</v>
      </c>
      <c r="AM48" s="46" t="s">
        <v>865</v>
      </c>
      <c r="AN48" s="11">
        <v>616785712</v>
      </c>
      <c r="AO48" s="6" t="s">
        <v>282</v>
      </c>
      <c r="AP48" s="33" t="s">
        <v>51</v>
      </c>
      <c r="AQ48" s="203" t="s">
        <v>286</v>
      </c>
      <c r="AR48" s="10" t="s">
        <v>131</v>
      </c>
      <c r="AS48" s="108" t="s">
        <v>53</v>
      </c>
      <c r="AT48" s="105" t="str">
        <f t="shared" si="7"/>
        <v>CG</v>
      </c>
      <c r="AU48" s="109" t="str">
        <f t="shared" si="8"/>
        <v>B</v>
      </c>
      <c r="AV48" s="110" t="s">
        <v>359</v>
      </c>
      <c r="AW48" s="111" t="e">
        <f t="shared" si="5"/>
        <v>#DIV/0!</v>
      </c>
    </row>
    <row r="49" spans="1:49" ht="56.15" customHeight="1" thickBot="1" x14ac:dyDescent="0.4">
      <c r="A49" s="120">
        <v>48</v>
      </c>
      <c r="B49" s="2" t="s">
        <v>283</v>
      </c>
      <c r="C49" s="2" t="s">
        <v>131</v>
      </c>
      <c r="D49" s="14" t="s">
        <v>360</v>
      </c>
      <c r="E49" s="7"/>
      <c r="F49" s="7">
        <v>43290</v>
      </c>
      <c r="G49" s="7">
        <v>43306</v>
      </c>
      <c r="H49" s="27">
        <v>0</v>
      </c>
      <c r="I49" s="28">
        <v>0</v>
      </c>
      <c r="J49" s="29">
        <v>0</v>
      </c>
      <c r="K49" s="30">
        <v>0</v>
      </c>
      <c r="L49" s="31">
        <v>0</v>
      </c>
      <c r="M49" s="32">
        <v>0</v>
      </c>
      <c r="N49" s="153">
        <v>9</v>
      </c>
      <c r="O49" s="147">
        <v>2</v>
      </c>
      <c r="P49" s="19">
        <v>0</v>
      </c>
      <c r="Q49" s="35">
        <v>0</v>
      </c>
      <c r="R49" s="74">
        <f t="shared" si="6"/>
        <v>9</v>
      </c>
      <c r="S49" s="75">
        <f t="shared" si="6"/>
        <v>2</v>
      </c>
      <c r="T49" s="8">
        <f t="shared" si="1"/>
        <v>0.22222222222222221</v>
      </c>
      <c r="U49" s="9">
        <f t="shared" si="2"/>
        <v>11</v>
      </c>
      <c r="V49" s="3"/>
      <c r="W49" s="2"/>
      <c r="X49" s="2"/>
      <c r="Y49" s="2"/>
      <c r="Z49" s="2"/>
      <c r="AA49" s="2"/>
      <c r="AB49" s="2"/>
      <c r="AC49" s="2"/>
      <c r="AD49" s="2"/>
      <c r="AE49" s="2"/>
      <c r="AF49" s="2" t="s">
        <v>65</v>
      </c>
      <c r="AG49" s="6" t="s">
        <v>341</v>
      </c>
      <c r="AH49" s="6"/>
      <c r="AI49" s="6"/>
      <c r="AJ49" s="33" t="s">
        <v>287</v>
      </c>
      <c r="AK49" s="6" t="s">
        <v>890</v>
      </c>
      <c r="AL49" s="6" t="s">
        <v>288</v>
      </c>
      <c r="AM49" s="49" t="s">
        <v>289</v>
      </c>
      <c r="AN49" s="11">
        <v>686884997</v>
      </c>
      <c r="AO49" s="6" t="s">
        <v>282</v>
      </c>
      <c r="AP49" s="33" t="s">
        <v>51</v>
      </c>
      <c r="AQ49" s="203" t="s">
        <v>290</v>
      </c>
      <c r="AR49" s="10"/>
      <c r="AS49" s="108" t="s">
        <v>53</v>
      </c>
      <c r="AT49" s="105" t="str">
        <f t="shared" si="7"/>
        <v>CUA</v>
      </c>
      <c r="AU49" s="109" t="str">
        <f t="shared" si="8"/>
        <v>A</v>
      </c>
      <c r="AV49" s="110" t="s">
        <v>359</v>
      </c>
      <c r="AW49" s="111" t="e">
        <f t="shared" si="5"/>
        <v>#DIV/0!</v>
      </c>
    </row>
    <row r="50" spans="1:49" ht="56.15" customHeight="1" thickBot="1" x14ac:dyDescent="0.4">
      <c r="A50" s="120">
        <v>49</v>
      </c>
      <c r="B50" s="2" t="s">
        <v>291</v>
      </c>
      <c r="C50" s="2" t="s">
        <v>131</v>
      </c>
      <c r="D50" s="2" t="s">
        <v>293</v>
      </c>
      <c r="E50" s="7" t="s">
        <v>294</v>
      </c>
      <c r="F50" s="7">
        <v>43289</v>
      </c>
      <c r="G50" s="7">
        <v>43303</v>
      </c>
      <c r="H50" s="152">
        <v>0</v>
      </c>
      <c r="I50" s="139">
        <v>0</v>
      </c>
      <c r="J50" s="150">
        <v>0</v>
      </c>
      <c r="K50" s="134">
        <v>0</v>
      </c>
      <c r="L50" s="132">
        <v>33</v>
      </c>
      <c r="M50" s="148">
        <v>5</v>
      </c>
      <c r="N50" s="153">
        <v>0</v>
      </c>
      <c r="O50" s="147">
        <v>0</v>
      </c>
      <c r="P50" s="165">
        <v>0</v>
      </c>
      <c r="Q50" s="138">
        <v>0</v>
      </c>
      <c r="R50" s="74">
        <f t="shared" si="6"/>
        <v>33</v>
      </c>
      <c r="S50" s="75">
        <f t="shared" si="6"/>
        <v>5</v>
      </c>
      <c r="T50" s="8">
        <f t="shared" si="1"/>
        <v>0.15151515151515152</v>
      </c>
      <c r="U50" s="9">
        <f t="shared" si="2"/>
        <v>38</v>
      </c>
      <c r="V50" s="3"/>
      <c r="W50" s="2"/>
      <c r="X50" s="2"/>
      <c r="Y50" s="2"/>
      <c r="Z50" s="2">
        <v>-5</v>
      </c>
      <c r="AA50" s="2">
        <v>-5</v>
      </c>
      <c r="AB50" s="2"/>
      <c r="AC50" s="2"/>
      <c r="AD50" s="2"/>
      <c r="AE50" s="2"/>
      <c r="AF50" s="2" t="s">
        <v>65</v>
      </c>
      <c r="AG50" s="6" t="s">
        <v>342</v>
      </c>
      <c r="AH50" s="6"/>
      <c r="AI50" s="6"/>
      <c r="AJ50" s="33" t="s">
        <v>295</v>
      </c>
      <c r="AK50" s="6" t="s">
        <v>883</v>
      </c>
      <c r="AL50" s="6" t="s">
        <v>296</v>
      </c>
      <c r="AM50" s="46" t="s">
        <v>297</v>
      </c>
      <c r="AN50" s="11">
        <v>662155731</v>
      </c>
      <c r="AO50" s="6" t="s">
        <v>292</v>
      </c>
      <c r="AP50" s="33" t="s">
        <v>51</v>
      </c>
      <c r="AQ50" s="203" t="s">
        <v>298</v>
      </c>
      <c r="AR50" s="10" t="s">
        <v>131</v>
      </c>
      <c r="AS50" s="108" t="s">
        <v>53</v>
      </c>
      <c r="AT50" s="105" t="str">
        <f t="shared" si="7"/>
        <v>CRGUE</v>
      </c>
      <c r="AU50" s="109" t="str">
        <f t="shared" si="8"/>
        <v>B</v>
      </c>
      <c r="AV50" s="110" t="s">
        <v>359</v>
      </c>
      <c r="AW50" s="111" t="e">
        <f t="shared" si="5"/>
        <v>#DIV/0!</v>
      </c>
    </row>
    <row r="51" spans="1:49" ht="56.15" customHeight="1" thickBot="1" x14ac:dyDescent="0.4">
      <c r="A51" s="120">
        <v>50</v>
      </c>
      <c r="B51" s="2" t="s">
        <v>299</v>
      </c>
      <c r="C51" s="2" t="s">
        <v>131</v>
      </c>
      <c r="D51" s="14" t="s">
        <v>360</v>
      </c>
      <c r="E51" s="7"/>
      <c r="F51" s="7">
        <v>43292</v>
      </c>
      <c r="G51" s="7">
        <v>43306</v>
      </c>
      <c r="H51" s="27">
        <v>0</v>
      </c>
      <c r="I51" s="28">
        <v>0</v>
      </c>
      <c r="J51" s="29">
        <v>0</v>
      </c>
      <c r="K51" s="30">
        <v>0</v>
      </c>
      <c r="L51" s="31">
        <v>0</v>
      </c>
      <c r="M51" s="32">
        <v>0</v>
      </c>
      <c r="N51" s="189">
        <v>4</v>
      </c>
      <c r="O51" s="18">
        <v>2</v>
      </c>
      <c r="P51" s="19">
        <v>0</v>
      </c>
      <c r="Q51" s="35">
        <v>0</v>
      </c>
      <c r="R51" s="74">
        <f t="shared" si="6"/>
        <v>4</v>
      </c>
      <c r="S51" s="75">
        <f t="shared" si="6"/>
        <v>2</v>
      </c>
      <c r="T51" s="8">
        <f t="shared" si="1"/>
        <v>0.5</v>
      </c>
      <c r="U51" s="9">
        <f t="shared" si="2"/>
        <v>6</v>
      </c>
      <c r="V51" s="3"/>
      <c r="W51" s="2"/>
      <c r="X51" s="2"/>
      <c r="Y51" s="2"/>
      <c r="Z51" s="2"/>
      <c r="AA51" s="2"/>
      <c r="AB51" s="2">
        <v>-1</v>
      </c>
      <c r="AC51" s="2"/>
      <c r="AD51" s="2"/>
      <c r="AE51" s="2"/>
      <c r="AF51" s="6" t="s">
        <v>133</v>
      </c>
      <c r="AG51" s="6"/>
      <c r="AH51" s="6" t="s">
        <v>301</v>
      </c>
      <c r="AI51" s="6"/>
      <c r="AJ51" s="33" t="s">
        <v>133</v>
      </c>
      <c r="AK51" s="6" t="s">
        <v>884</v>
      </c>
      <c r="AL51" s="6" t="s">
        <v>302</v>
      </c>
      <c r="AM51" s="49" t="s">
        <v>303</v>
      </c>
      <c r="AN51" s="11">
        <v>632445676</v>
      </c>
      <c r="AO51" s="6" t="s">
        <v>300</v>
      </c>
      <c r="AP51" s="33" t="s">
        <v>51</v>
      </c>
      <c r="AQ51" s="203"/>
      <c r="AR51" s="10"/>
      <c r="AS51" s="108" t="s">
        <v>53</v>
      </c>
      <c r="AT51" s="105" t="str">
        <f t="shared" si="7"/>
        <v>CUA</v>
      </c>
      <c r="AU51" s="109" t="str">
        <f t="shared" si="8"/>
        <v>A</v>
      </c>
      <c r="AV51" s="110" t="s">
        <v>359</v>
      </c>
      <c r="AW51" s="111" t="e">
        <f t="shared" si="5"/>
        <v>#DIV/0!</v>
      </c>
    </row>
    <row r="52" spans="1:49" ht="56.15" customHeight="1" thickBot="1" x14ac:dyDescent="0.4">
      <c r="A52" s="120">
        <v>51</v>
      </c>
      <c r="B52" s="2" t="s">
        <v>304</v>
      </c>
      <c r="C52" s="2" t="s">
        <v>131</v>
      </c>
      <c r="D52" s="2" t="s">
        <v>351</v>
      </c>
      <c r="E52" s="7" t="s">
        <v>299</v>
      </c>
      <c r="F52" s="7">
        <v>43290</v>
      </c>
      <c r="G52" s="7">
        <v>43309</v>
      </c>
      <c r="H52" s="142">
        <v>6</v>
      </c>
      <c r="I52" s="139">
        <v>2</v>
      </c>
      <c r="J52" s="145">
        <v>16</v>
      </c>
      <c r="K52" s="131">
        <v>7</v>
      </c>
      <c r="L52" s="31">
        <v>0</v>
      </c>
      <c r="M52" s="32">
        <v>0</v>
      </c>
      <c r="N52" s="17">
        <v>0</v>
      </c>
      <c r="O52" s="18">
        <v>0</v>
      </c>
      <c r="P52" s="19">
        <v>0</v>
      </c>
      <c r="Q52" s="35">
        <v>0</v>
      </c>
      <c r="R52" s="74">
        <f>H52+J52+L52+N52+P52</f>
        <v>22</v>
      </c>
      <c r="S52" s="75">
        <f>I52+K52+M52+O52+Q52</f>
        <v>9</v>
      </c>
      <c r="T52" s="8">
        <f>S52/R52</f>
        <v>0.40909090909090912</v>
      </c>
      <c r="U52" s="9">
        <f>R52+S52</f>
        <v>31</v>
      </c>
      <c r="V52" s="3">
        <v>-4</v>
      </c>
      <c r="W52" s="2"/>
      <c r="X52" s="2">
        <v>-7</v>
      </c>
      <c r="Y52" s="2">
        <v>-3</v>
      </c>
      <c r="Z52" s="2"/>
      <c r="AA52" s="2"/>
      <c r="AB52" s="2"/>
      <c r="AC52" s="2"/>
      <c r="AD52" s="2"/>
      <c r="AE52" s="2"/>
      <c r="AF52" s="2" t="s">
        <v>65</v>
      </c>
      <c r="AG52" s="6" t="s">
        <v>343</v>
      </c>
      <c r="AH52" s="6"/>
      <c r="AI52" s="6"/>
      <c r="AJ52" s="33" t="s">
        <v>306</v>
      </c>
      <c r="AK52" s="6" t="s">
        <v>883</v>
      </c>
      <c r="AL52" s="6" t="s">
        <v>309</v>
      </c>
      <c r="AM52" s="46" t="s">
        <v>310</v>
      </c>
      <c r="AN52" s="11">
        <v>659009276</v>
      </c>
      <c r="AO52" s="6" t="s">
        <v>305</v>
      </c>
      <c r="AP52" s="33" t="s">
        <v>51</v>
      </c>
      <c r="AQ52" s="203" t="s">
        <v>311</v>
      </c>
      <c r="AR52" s="10" t="s">
        <v>131</v>
      </c>
      <c r="AS52" s="108" t="s">
        <v>53</v>
      </c>
      <c r="AT52" s="105" t="str">
        <f t="shared" si="7"/>
        <v>CGG</v>
      </c>
      <c r="AU52" s="109" t="str">
        <f t="shared" si="8"/>
        <v>B</v>
      </c>
      <c r="AV52" s="110" t="s">
        <v>359</v>
      </c>
      <c r="AW52" s="111" t="e">
        <f>BV52/BW52</f>
        <v>#DIV/0!</v>
      </c>
    </row>
    <row r="53" spans="1:49" ht="79.5" customHeight="1" thickBot="1" x14ac:dyDescent="0.4">
      <c r="A53" s="120">
        <v>52</v>
      </c>
      <c r="B53" s="2" t="s">
        <v>312</v>
      </c>
      <c r="C53" s="2" t="s">
        <v>131</v>
      </c>
      <c r="D53" s="2" t="s">
        <v>64</v>
      </c>
      <c r="E53" s="2"/>
      <c r="F53" s="7">
        <v>43289</v>
      </c>
      <c r="G53" s="7">
        <v>43303</v>
      </c>
      <c r="H53" s="123">
        <v>17</v>
      </c>
      <c r="I53" s="28">
        <v>3</v>
      </c>
      <c r="J53" s="29">
        <v>42</v>
      </c>
      <c r="K53" s="30">
        <v>7</v>
      </c>
      <c r="L53" s="31">
        <v>0</v>
      </c>
      <c r="M53" s="32">
        <v>0</v>
      </c>
      <c r="N53" s="17">
        <v>0</v>
      </c>
      <c r="O53" s="18">
        <v>0</v>
      </c>
      <c r="P53" s="19">
        <v>0</v>
      </c>
      <c r="Q53" s="35">
        <v>0</v>
      </c>
      <c r="R53" s="74">
        <f t="shared" si="6"/>
        <v>59</v>
      </c>
      <c r="S53" s="75">
        <f t="shared" si="6"/>
        <v>10</v>
      </c>
      <c r="T53" s="8">
        <f t="shared" si="1"/>
        <v>0.16949152542372881</v>
      </c>
      <c r="U53" s="9">
        <f t="shared" si="2"/>
        <v>69</v>
      </c>
      <c r="V53" s="3">
        <v>1</v>
      </c>
      <c r="W53" s="2"/>
      <c r="X53" s="2"/>
      <c r="Y53" s="2"/>
      <c r="Z53" s="2"/>
      <c r="AA53" s="2"/>
      <c r="AB53" s="2"/>
      <c r="AC53" s="2"/>
      <c r="AD53" s="2"/>
      <c r="AE53" s="2"/>
      <c r="AF53" s="2" t="s">
        <v>148</v>
      </c>
      <c r="AG53" s="2" t="s">
        <v>314</v>
      </c>
      <c r="AH53" s="2"/>
      <c r="AI53" s="2"/>
      <c r="AJ53" s="212" t="s">
        <v>315</v>
      </c>
      <c r="AK53" s="2" t="s">
        <v>886</v>
      </c>
      <c r="AL53" s="2" t="s">
        <v>316</v>
      </c>
      <c r="AM53" s="48" t="s">
        <v>317</v>
      </c>
      <c r="AN53" s="4">
        <v>651786597</v>
      </c>
      <c r="AO53" s="2" t="s">
        <v>313</v>
      </c>
      <c r="AP53" s="33" t="s">
        <v>51</v>
      </c>
      <c r="AQ53" s="203" t="s">
        <v>130</v>
      </c>
      <c r="AR53" s="6" t="s">
        <v>131</v>
      </c>
      <c r="AS53" s="108" t="s">
        <v>53</v>
      </c>
      <c r="AT53" s="105" t="str">
        <f t="shared" si="7"/>
        <v>CG</v>
      </c>
      <c r="AU53" s="109" t="str">
        <f t="shared" si="8"/>
        <v>C</v>
      </c>
      <c r="AV53" s="110" t="s">
        <v>359</v>
      </c>
      <c r="AW53" s="111" t="e">
        <f t="shared" si="5"/>
        <v>#DIV/0!</v>
      </c>
    </row>
    <row r="54" spans="1:49" ht="56.15" customHeight="1" thickBot="1" x14ac:dyDescent="0.4">
      <c r="A54" s="120">
        <v>53</v>
      </c>
      <c r="B54" s="2" t="s">
        <v>312</v>
      </c>
      <c r="C54" s="2" t="s">
        <v>131</v>
      </c>
      <c r="D54" s="2" t="s">
        <v>205</v>
      </c>
      <c r="E54" s="2"/>
      <c r="F54" s="7">
        <v>43288</v>
      </c>
      <c r="G54" s="7">
        <v>43308</v>
      </c>
      <c r="H54" s="27">
        <v>0</v>
      </c>
      <c r="I54" s="28">
        <v>0</v>
      </c>
      <c r="J54" s="29">
        <v>0</v>
      </c>
      <c r="K54" s="30">
        <v>0</v>
      </c>
      <c r="L54" s="135">
        <v>28</v>
      </c>
      <c r="M54" s="32">
        <v>6</v>
      </c>
      <c r="N54" s="17">
        <v>0</v>
      </c>
      <c r="O54" s="18">
        <v>0</v>
      </c>
      <c r="P54" s="19">
        <v>0</v>
      </c>
      <c r="Q54" s="35">
        <v>1</v>
      </c>
      <c r="R54" s="74">
        <f t="shared" si="6"/>
        <v>28</v>
      </c>
      <c r="S54" s="75">
        <f t="shared" si="6"/>
        <v>7</v>
      </c>
      <c r="T54" s="8">
        <f t="shared" si="1"/>
        <v>0.25</v>
      </c>
      <c r="U54" s="9">
        <f t="shared" si="2"/>
        <v>35</v>
      </c>
      <c r="V54" s="3"/>
      <c r="W54" s="2"/>
      <c r="X54" s="2"/>
      <c r="Y54" s="2"/>
      <c r="Z54" s="2">
        <v>-8</v>
      </c>
      <c r="AA54" s="2"/>
      <c r="AB54" s="2"/>
      <c r="AC54" s="2"/>
      <c r="AD54" s="2"/>
      <c r="AE54" s="2"/>
      <c r="AF54" s="2" t="s">
        <v>133</v>
      </c>
      <c r="AG54" s="2" t="s">
        <v>318</v>
      </c>
      <c r="AH54" s="2"/>
      <c r="AI54" s="2"/>
      <c r="AJ54" s="212" t="s">
        <v>318</v>
      </c>
      <c r="AK54" s="2" t="s">
        <v>880</v>
      </c>
      <c r="AL54" s="2" t="s">
        <v>319</v>
      </c>
      <c r="AM54" s="48" t="s">
        <v>320</v>
      </c>
      <c r="AN54" s="4">
        <v>631790841</v>
      </c>
      <c r="AO54" s="2" t="s">
        <v>313</v>
      </c>
      <c r="AP54" s="33" t="s">
        <v>51</v>
      </c>
      <c r="AQ54" s="203"/>
      <c r="AR54" s="6" t="s">
        <v>131</v>
      </c>
      <c r="AS54" s="108" t="s">
        <v>53</v>
      </c>
      <c r="AT54" s="105" t="str">
        <f t="shared" si="7"/>
        <v>CUE</v>
      </c>
      <c r="AU54" s="109" t="str">
        <f t="shared" si="8"/>
        <v>B</v>
      </c>
      <c r="AV54" s="110" t="s">
        <v>359</v>
      </c>
      <c r="AW54" s="111" t="e">
        <f t="shared" si="5"/>
        <v>#DIV/0!</v>
      </c>
    </row>
    <row r="55" spans="1:49" ht="56.15" customHeight="1" thickBot="1" x14ac:dyDescent="0.4">
      <c r="A55" s="120">
        <v>54</v>
      </c>
      <c r="B55" s="2" t="s">
        <v>312</v>
      </c>
      <c r="C55" s="2" t="s">
        <v>131</v>
      </c>
      <c r="D55" s="14" t="s">
        <v>360</v>
      </c>
      <c r="E55" s="2"/>
      <c r="F55" s="7">
        <v>43288</v>
      </c>
      <c r="G55" s="7">
        <v>43308</v>
      </c>
      <c r="H55" s="27">
        <v>0</v>
      </c>
      <c r="I55" s="28">
        <v>0</v>
      </c>
      <c r="J55" s="29">
        <v>0</v>
      </c>
      <c r="K55" s="30">
        <v>0</v>
      </c>
      <c r="L55" s="31">
        <v>0</v>
      </c>
      <c r="M55" s="32">
        <v>0</v>
      </c>
      <c r="N55" s="189">
        <v>14</v>
      </c>
      <c r="O55" s="18">
        <v>2</v>
      </c>
      <c r="P55" s="19">
        <v>0</v>
      </c>
      <c r="Q55" s="35">
        <v>0</v>
      </c>
      <c r="R55" s="74">
        <f t="shared" si="6"/>
        <v>14</v>
      </c>
      <c r="S55" s="75">
        <f t="shared" si="6"/>
        <v>2</v>
      </c>
      <c r="T55" s="8">
        <f t="shared" si="1"/>
        <v>0.14285714285714285</v>
      </c>
      <c r="U55" s="9">
        <f t="shared" si="2"/>
        <v>16</v>
      </c>
      <c r="V55" s="3"/>
      <c r="W55" s="2"/>
      <c r="X55" s="2"/>
      <c r="Y55" s="2"/>
      <c r="Z55" s="2"/>
      <c r="AA55" s="2"/>
      <c r="AB55" s="2">
        <v>-1</v>
      </c>
      <c r="AC55" s="2"/>
      <c r="AD55" s="2"/>
      <c r="AE55" s="2"/>
      <c r="AF55" s="2" t="s">
        <v>133</v>
      </c>
      <c r="AG55" s="2" t="s">
        <v>321</v>
      </c>
      <c r="AH55" s="2"/>
      <c r="AI55" s="2"/>
      <c r="AJ55" s="212" t="s">
        <v>321</v>
      </c>
      <c r="AK55" s="2" t="s">
        <v>880</v>
      </c>
      <c r="AL55" s="2" t="s">
        <v>322</v>
      </c>
      <c r="AM55" s="48" t="s">
        <v>323</v>
      </c>
      <c r="AN55" s="4">
        <v>698055857</v>
      </c>
      <c r="AO55" s="2" t="s">
        <v>313</v>
      </c>
      <c r="AP55" s="33" t="s">
        <v>51</v>
      </c>
      <c r="AQ55" s="203"/>
      <c r="AR55" s="6" t="s">
        <v>54</v>
      </c>
      <c r="AS55" s="108" t="s">
        <v>53</v>
      </c>
      <c r="AT55" s="105" t="str">
        <f t="shared" si="7"/>
        <v>CUA</v>
      </c>
      <c r="AU55" s="109" t="str">
        <f t="shared" si="8"/>
        <v>A</v>
      </c>
      <c r="AV55" s="110" t="s">
        <v>359</v>
      </c>
      <c r="AW55" s="111" t="e">
        <f t="shared" si="5"/>
        <v>#DIV/0!</v>
      </c>
    </row>
    <row r="56" spans="1:49" ht="56.15" customHeight="1" thickBot="1" x14ac:dyDescent="0.4">
      <c r="A56" s="120">
        <v>55</v>
      </c>
      <c r="B56" s="2" t="s">
        <v>324</v>
      </c>
      <c r="C56" s="2" t="s">
        <v>131</v>
      </c>
      <c r="D56" s="2" t="s">
        <v>362</v>
      </c>
      <c r="E56" s="2" t="s">
        <v>291</v>
      </c>
      <c r="F56" s="7">
        <v>43289</v>
      </c>
      <c r="G56" s="7">
        <v>43309</v>
      </c>
      <c r="H56" s="152">
        <v>0</v>
      </c>
      <c r="I56" s="139">
        <v>0</v>
      </c>
      <c r="J56" s="145">
        <v>24</v>
      </c>
      <c r="K56" s="30">
        <v>7</v>
      </c>
      <c r="L56" s="166">
        <v>0</v>
      </c>
      <c r="M56" s="136">
        <v>0</v>
      </c>
      <c r="N56" s="153">
        <v>0</v>
      </c>
      <c r="O56" s="147">
        <v>0</v>
      </c>
      <c r="P56" s="165">
        <v>0</v>
      </c>
      <c r="Q56" s="191">
        <v>1</v>
      </c>
      <c r="R56" s="74">
        <f t="shared" si="6"/>
        <v>24</v>
      </c>
      <c r="S56" s="75">
        <f t="shared" si="6"/>
        <v>8</v>
      </c>
      <c r="T56" s="8">
        <f t="shared" si="1"/>
        <v>0.33333333333333331</v>
      </c>
      <c r="U56" s="9">
        <f t="shared" si="2"/>
        <v>32</v>
      </c>
      <c r="V56" s="3"/>
      <c r="W56" s="2"/>
      <c r="X56" s="2">
        <v>-6</v>
      </c>
      <c r="Y56" s="2"/>
      <c r="Z56" s="2"/>
      <c r="AA56" s="2"/>
      <c r="AB56" s="2"/>
      <c r="AC56" s="2"/>
      <c r="AD56" s="2"/>
      <c r="AE56" s="2">
        <v>1</v>
      </c>
      <c r="AF56" s="2" t="s">
        <v>148</v>
      </c>
      <c r="AG56" s="2" t="s">
        <v>346</v>
      </c>
      <c r="AH56" s="2"/>
      <c r="AI56" s="2"/>
      <c r="AJ56" s="212" t="s">
        <v>326</v>
      </c>
      <c r="AK56" s="2" t="s">
        <v>888</v>
      </c>
      <c r="AL56" s="2" t="s">
        <v>327</v>
      </c>
      <c r="AM56" s="48" t="s">
        <v>328</v>
      </c>
      <c r="AN56" s="4">
        <v>617787263</v>
      </c>
      <c r="AO56" s="2" t="s">
        <v>325</v>
      </c>
      <c r="AP56" s="33" t="s">
        <v>51</v>
      </c>
      <c r="AQ56" s="203" t="s">
        <v>329</v>
      </c>
      <c r="AR56" s="6" t="s">
        <v>131</v>
      </c>
      <c r="AS56" s="108" t="s">
        <v>53</v>
      </c>
      <c r="AT56" s="105" t="b">
        <f t="shared" si="7"/>
        <v>0</v>
      </c>
      <c r="AU56" s="109" t="str">
        <f t="shared" si="8"/>
        <v>B</v>
      </c>
      <c r="AV56" s="110" t="s">
        <v>359</v>
      </c>
      <c r="AW56" s="111" t="e">
        <f t="shared" si="5"/>
        <v>#DIV/0!</v>
      </c>
    </row>
    <row r="57" spans="1:49" ht="56.15" customHeight="1" thickBot="1" x14ac:dyDescent="0.4">
      <c r="A57" s="120">
        <v>56</v>
      </c>
      <c r="B57" s="2" t="s">
        <v>331</v>
      </c>
      <c r="C57" s="2" t="s">
        <v>131</v>
      </c>
      <c r="D57" s="2" t="s">
        <v>205</v>
      </c>
      <c r="E57" s="2"/>
      <c r="F57" s="7">
        <v>43288</v>
      </c>
      <c r="G57" s="7">
        <v>43308</v>
      </c>
      <c r="H57" s="27">
        <v>0</v>
      </c>
      <c r="I57" s="28">
        <v>0</v>
      </c>
      <c r="J57" s="29">
        <v>0</v>
      </c>
      <c r="K57" s="30">
        <v>0</v>
      </c>
      <c r="L57" s="135">
        <v>24</v>
      </c>
      <c r="M57" s="32">
        <v>3</v>
      </c>
      <c r="N57" s="17">
        <v>0</v>
      </c>
      <c r="O57" s="18">
        <v>0</v>
      </c>
      <c r="P57" s="19">
        <v>0</v>
      </c>
      <c r="Q57" s="35">
        <v>0</v>
      </c>
      <c r="R57" s="74">
        <f t="shared" si="6"/>
        <v>24</v>
      </c>
      <c r="S57" s="75">
        <f t="shared" si="6"/>
        <v>3</v>
      </c>
      <c r="T57" s="8">
        <f t="shared" si="1"/>
        <v>0.125</v>
      </c>
      <c r="U57" s="9">
        <f t="shared" si="2"/>
        <v>27</v>
      </c>
      <c r="V57" s="3"/>
      <c r="W57" s="2"/>
      <c r="X57" s="2"/>
      <c r="Y57" s="2"/>
      <c r="Z57" s="2">
        <v>-1</v>
      </c>
      <c r="AA57" s="2"/>
      <c r="AB57" s="2"/>
      <c r="AC57" s="2"/>
      <c r="AD57" s="2"/>
      <c r="AE57" s="2"/>
      <c r="AF57" s="2" t="s">
        <v>148</v>
      </c>
      <c r="AG57" s="2" t="s">
        <v>344</v>
      </c>
      <c r="AH57" s="2"/>
      <c r="AI57" s="2"/>
      <c r="AJ57" s="212" t="s">
        <v>332</v>
      </c>
      <c r="AK57" s="2" t="s">
        <v>890</v>
      </c>
      <c r="AL57" s="2" t="s">
        <v>333</v>
      </c>
      <c r="AM57" s="48" t="s">
        <v>334</v>
      </c>
      <c r="AN57" s="4">
        <v>667216526</v>
      </c>
      <c r="AO57" s="2" t="s">
        <v>330</v>
      </c>
      <c r="AP57" s="33" t="s">
        <v>51</v>
      </c>
      <c r="AQ57" s="203"/>
      <c r="AR57" s="6" t="s">
        <v>52</v>
      </c>
      <c r="AS57" s="108" t="s">
        <v>53</v>
      </c>
      <c r="AT57" s="105" t="str">
        <f t="shared" si="7"/>
        <v>CUE</v>
      </c>
      <c r="AU57" s="109" t="str">
        <f t="shared" si="8"/>
        <v>B</v>
      </c>
      <c r="AV57" s="110" t="s">
        <v>359</v>
      </c>
      <c r="AW57" s="111" t="e">
        <f t="shared" si="5"/>
        <v>#DIV/0!</v>
      </c>
    </row>
    <row r="58" spans="1:49" ht="56.15" customHeight="1" thickBot="1" x14ac:dyDescent="0.4">
      <c r="A58" s="120">
        <v>57</v>
      </c>
      <c r="B58" s="2" t="s">
        <v>324</v>
      </c>
      <c r="C58" s="2" t="s">
        <v>131</v>
      </c>
      <c r="D58" s="14" t="s">
        <v>360</v>
      </c>
      <c r="E58" s="2"/>
      <c r="F58" s="7">
        <v>43289</v>
      </c>
      <c r="G58" s="7">
        <v>43309</v>
      </c>
      <c r="H58" s="152">
        <v>0</v>
      </c>
      <c r="I58" s="139">
        <v>0</v>
      </c>
      <c r="J58" s="150">
        <v>0</v>
      </c>
      <c r="K58" s="134">
        <v>0</v>
      </c>
      <c r="L58" s="166">
        <v>0</v>
      </c>
      <c r="M58" s="136">
        <v>0</v>
      </c>
      <c r="N58" s="153">
        <v>7</v>
      </c>
      <c r="O58" s="147">
        <v>1</v>
      </c>
      <c r="P58" s="165">
        <v>0</v>
      </c>
      <c r="Q58" s="138">
        <v>0</v>
      </c>
      <c r="R58" s="74">
        <f t="shared" si="6"/>
        <v>7</v>
      </c>
      <c r="S58" s="75">
        <f t="shared" si="6"/>
        <v>1</v>
      </c>
      <c r="T58" s="8">
        <f t="shared" si="1"/>
        <v>0.14285714285714285</v>
      </c>
      <c r="U58" s="9">
        <f t="shared" si="2"/>
        <v>8</v>
      </c>
      <c r="V58" s="3"/>
      <c r="W58" s="2"/>
      <c r="X58" s="2"/>
      <c r="Y58" s="2"/>
      <c r="Z58" s="2"/>
      <c r="AA58" s="2"/>
      <c r="AB58" s="2"/>
      <c r="AC58" s="2"/>
      <c r="AD58" s="2"/>
      <c r="AE58" s="2"/>
      <c r="AF58" s="2" t="s">
        <v>148</v>
      </c>
      <c r="AG58" s="2" t="s">
        <v>345</v>
      </c>
      <c r="AH58" s="2"/>
      <c r="AI58" s="2"/>
      <c r="AJ58" s="212" t="s">
        <v>336</v>
      </c>
      <c r="AK58" s="2" t="s">
        <v>883</v>
      </c>
      <c r="AL58" s="2" t="s">
        <v>335</v>
      </c>
      <c r="AM58" s="48" t="s">
        <v>849</v>
      </c>
      <c r="AN58" s="4">
        <v>677615619</v>
      </c>
      <c r="AO58" s="2" t="s">
        <v>325</v>
      </c>
      <c r="AP58" s="33" t="s">
        <v>51</v>
      </c>
      <c r="AQ58" s="203" t="s">
        <v>204</v>
      </c>
      <c r="AR58" s="6" t="s">
        <v>43</v>
      </c>
      <c r="AS58" s="108" t="s">
        <v>53</v>
      </c>
      <c r="AT58" s="105" t="str">
        <f t="shared" si="7"/>
        <v>CUA</v>
      </c>
      <c r="AU58" s="109" t="str">
        <f t="shared" si="8"/>
        <v>A</v>
      </c>
      <c r="AV58" s="110" t="s">
        <v>359</v>
      </c>
      <c r="AW58" s="111" t="e">
        <f t="shared" si="5"/>
        <v>#DIV/0!</v>
      </c>
    </row>
    <row r="59" spans="1:49" ht="56.15" customHeight="1" thickBot="1" x14ac:dyDescent="0.4">
      <c r="A59" s="120">
        <v>58</v>
      </c>
      <c r="B59" s="2" t="s">
        <v>349</v>
      </c>
      <c r="C59" s="2" t="s">
        <v>124</v>
      </c>
      <c r="D59" s="2" t="s">
        <v>351</v>
      </c>
      <c r="E59" s="2" t="s">
        <v>352</v>
      </c>
      <c r="F59" s="7">
        <v>43289</v>
      </c>
      <c r="G59" s="7">
        <v>43303</v>
      </c>
      <c r="H59" s="128">
        <v>7</v>
      </c>
      <c r="I59" s="28">
        <v>2</v>
      </c>
      <c r="J59" s="129">
        <v>25</v>
      </c>
      <c r="K59" s="131">
        <v>5</v>
      </c>
      <c r="L59" s="132">
        <v>17</v>
      </c>
      <c r="M59" s="32">
        <v>3</v>
      </c>
      <c r="N59" s="17">
        <v>0</v>
      </c>
      <c r="O59" s="18">
        <v>0</v>
      </c>
      <c r="P59" s="19">
        <v>0</v>
      </c>
      <c r="Q59" s="127">
        <v>3</v>
      </c>
      <c r="R59" s="74">
        <f t="shared" si="6"/>
        <v>49</v>
      </c>
      <c r="S59" s="75">
        <f t="shared" si="6"/>
        <v>13</v>
      </c>
      <c r="T59" s="8">
        <f t="shared" si="1"/>
        <v>0.26530612244897961</v>
      </c>
      <c r="U59" s="9">
        <f t="shared" si="2"/>
        <v>62</v>
      </c>
      <c r="V59" s="3">
        <v>-8</v>
      </c>
      <c r="W59" s="2">
        <v>0</v>
      </c>
      <c r="X59" s="2">
        <v>10</v>
      </c>
      <c r="Y59" s="2">
        <v>2</v>
      </c>
      <c r="Z59" s="2">
        <v>-3</v>
      </c>
      <c r="AA59" s="2">
        <v>0</v>
      </c>
      <c r="AB59" s="2">
        <v>0</v>
      </c>
      <c r="AC59" s="2">
        <v>0</v>
      </c>
      <c r="AD59" s="2">
        <v>0</v>
      </c>
      <c r="AE59" s="2">
        <v>3</v>
      </c>
      <c r="AF59" s="2" t="s">
        <v>65</v>
      </c>
      <c r="AG59" s="2" t="s">
        <v>353</v>
      </c>
      <c r="AH59" s="2"/>
      <c r="AI59" s="2"/>
      <c r="AJ59" s="212" t="s">
        <v>354</v>
      </c>
      <c r="AK59" s="2" t="s">
        <v>890</v>
      </c>
      <c r="AL59" s="2" t="s">
        <v>355</v>
      </c>
      <c r="AM59" s="48" t="s">
        <v>603</v>
      </c>
      <c r="AN59" s="4">
        <v>610692275</v>
      </c>
      <c r="AO59" s="2" t="s">
        <v>350</v>
      </c>
      <c r="AP59" s="33" t="s">
        <v>51</v>
      </c>
      <c r="AQ59" s="203" t="s">
        <v>356</v>
      </c>
      <c r="AR59" s="6" t="s">
        <v>124</v>
      </c>
      <c r="AS59" s="108" t="s">
        <v>53</v>
      </c>
      <c r="AT59" s="105" t="str">
        <f t="shared" si="7"/>
        <v>CGG</v>
      </c>
      <c r="AU59" s="109" t="str">
        <f t="shared" si="8"/>
        <v>B</v>
      </c>
      <c r="AV59" s="110" t="s">
        <v>359</v>
      </c>
      <c r="AW59" s="111" t="e">
        <f t="shared" si="5"/>
        <v>#DIV/0!</v>
      </c>
    </row>
    <row r="60" spans="1:49" ht="87.75" customHeight="1" thickBot="1" x14ac:dyDescent="0.4">
      <c r="A60" s="120">
        <v>59</v>
      </c>
      <c r="B60" s="2" t="s">
        <v>363</v>
      </c>
      <c r="C60" s="2" t="s">
        <v>100</v>
      </c>
      <c r="D60" s="2" t="s">
        <v>64</v>
      </c>
      <c r="E60" s="2"/>
      <c r="F60" s="7">
        <v>43288</v>
      </c>
      <c r="G60" s="7">
        <v>43307</v>
      </c>
      <c r="H60" s="152">
        <v>10</v>
      </c>
      <c r="I60" s="139">
        <v>2</v>
      </c>
      <c r="J60" s="150">
        <v>28</v>
      </c>
      <c r="K60" s="134">
        <v>3</v>
      </c>
      <c r="L60" s="126">
        <v>23</v>
      </c>
      <c r="M60" s="136">
        <v>2</v>
      </c>
      <c r="N60" s="153">
        <v>12</v>
      </c>
      <c r="O60" s="147">
        <v>1</v>
      </c>
      <c r="P60" s="165">
        <v>0</v>
      </c>
      <c r="Q60" s="144">
        <v>4</v>
      </c>
      <c r="R60" s="74">
        <f t="shared" si="6"/>
        <v>73</v>
      </c>
      <c r="S60" s="75">
        <f t="shared" si="6"/>
        <v>12</v>
      </c>
      <c r="T60" s="8">
        <f t="shared" si="1"/>
        <v>0.16438356164383561</v>
      </c>
      <c r="U60" s="9">
        <f t="shared" si="2"/>
        <v>85</v>
      </c>
      <c r="V60" s="3"/>
      <c r="W60" s="2"/>
      <c r="X60" s="2"/>
      <c r="Y60" s="2"/>
      <c r="Z60" s="2">
        <v>3</v>
      </c>
      <c r="AA60" s="2"/>
      <c r="AB60" s="2"/>
      <c r="AC60" s="2"/>
      <c r="AD60" s="2"/>
      <c r="AE60" s="2">
        <v>-1</v>
      </c>
      <c r="AF60" s="2" t="s">
        <v>148</v>
      </c>
      <c r="AG60" s="2" t="s">
        <v>98</v>
      </c>
      <c r="AH60" s="2"/>
      <c r="AI60" s="2"/>
      <c r="AJ60" s="212">
        <v>86203</v>
      </c>
      <c r="AK60" s="2" t="s">
        <v>885</v>
      </c>
      <c r="AL60" s="2" t="s">
        <v>364</v>
      </c>
      <c r="AM60" s="47" t="s">
        <v>365</v>
      </c>
      <c r="AN60" s="4">
        <v>630590896</v>
      </c>
      <c r="AO60" s="2" t="s">
        <v>364</v>
      </c>
      <c r="AP60" s="33" t="s">
        <v>51</v>
      </c>
      <c r="AQ60" s="203" t="s">
        <v>99</v>
      </c>
      <c r="AR60" s="6" t="s">
        <v>100</v>
      </c>
      <c r="AS60" s="108" t="s">
        <v>53</v>
      </c>
      <c r="AT60" s="105" t="str">
        <f t="shared" si="7"/>
        <v>CG</v>
      </c>
      <c r="AU60" s="109" t="str">
        <f t="shared" si="8"/>
        <v>C</v>
      </c>
      <c r="AV60" s="110" t="s">
        <v>359</v>
      </c>
      <c r="AW60" s="111" t="e">
        <f t="shared" si="5"/>
        <v>#DIV/0!</v>
      </c>
    </row>
    <row r="61" spans="1:49" ht="82.5" customHeight="1" thickBot="1" x14ac:dyDescent="0.4">
      <c r="A61" s="169">
        <v>60</v>
      </c>
      <c r="B61" s="170" t="s">
        <v>265</v>
      </c>
      <c r="C61" s="170" t="s">
        <v>52</v>
      </c>
      <c r="D61" s="170" t="s">
        <v>64</v>
      </c>
      <c r="E61" s="170"/>
      <c r="F61" s="173">
        <v>43289</v>
      </c>
      <c r="G61" s="173">
        <v>43303</v>
      </c>
      <c r="H61" s="174">
        <v>0</v>
      </c>
      <c r="I61" s="174">
        <v>0</v>
      </c>
      <c r="J61" s="174">
        <v>0</v>
      </c>
      <c r="K61" s="174">
        <v>0</v>
      </c>
      <c r="L61" s="174">
        <v>0</v>
      </c>
      <c r="M61" s="174">
        <v>0</v>
      </c>
      <c r="N61" s="174">
        <v>0</v>
      </c>
      <c r="O61" s="174">
        <v>0</v>
      </c>
      <c r="P61" s="174">
        <v>0</v>
      </c>
      <c r="Q61" s="175">
        <v>0</v>
      </c>
      <c r="R61" s="176">
        <f>H61+J61+L61+N61+P61</f>
        <v>0</v>
      </c>
      <c r="S61" s="176">
        <f t="shared" si="6"/>
        <v>0</v>
      </c>
      <c r="T61" s="177" t="e">
        <f t="shared" si="1"/>
        <v>#DIV/0!</v>
      </c>
      <c r="U61" s="176">
        <f t="shared" si="2"/>
        <v>0</v>
      </c>
      <c r="V61" s="178"/>
      <c r="W61" s="170"/>
      <c r="X61" s="170"/>
      <c r="Y61" s="170"/>
      <c r="Z61" s="170"/>
      <c r="AA61" s="170"/>
      <c r="AB61" s="170"/>
      <c r="AC61" s="170"/>
      <c r="AD61" s="170"/>
      <c r="AE61" s="170"/>
      <c r="AF61" s="170" t="s">
        <v>148</v>
      </c>
      <c r="AG61" s="170" t="s">
        <v>240</v>
      </c>
      <c r="AH61" s="170"/>
      <c r="AI61" s="170"/>
      <c r="AJ61" s="180" t="s">
        <v>241</v>
      </c>
      <c r="AK61" s="172"/>
      <c r="AL61" s="170" t="s">
        <v>273</v>
      </c>
      <c r="AM61" s="179" t="s">
        <v>274</v>
      </c>
      <c r="AN61" s="171">
        <v>684477600</v>
      </c>
      <c r="AO61" s="170" t="s">
        <v>266</v>
      </c>
      <c r="AP61" s="180" t="s">
        <v>51</v>
      </c>
      <c r="AQ61" s="205"/>
      <c r="AR61" s="172" t="s">
        <v>52</v>
      </c>
      <c r="AS61" s="181" t="s">
        <v>53</v>
      </c>
      <c r="AT61" s="183" t="str">
        <f t="shared" si="7"/>
        <v>CG</v>
      </c>
      <c r="AU61" s="182" t="str">
        <f t="shared" si="8"/>
        <v>A</v>
      </c>
      <c r="AV61" s="184" t="s">
        <v>359</v>
      </c>
      <c r="AW61" s="185" t="e">
        <f t="shared" si="5"/>
        <v>#DIV/0!</v>
      </c>
    </row>
    <row r="62" spans="1:49" ht="56.15" customHeight="1" thickBot="1" x14ac:dyDescent="0.4">
      <c r="A62" s="120">
        <v>61</v>
      </c>
      <c r="B62" s="2" t="s">
        <v>366</v>
      </c>
      <c r="C62" s="2" t="s">
        <v>52</v>
      </c>
      <c r="D62" s="2" t="s">
        <v>64</v>
      </c>
      <c r="E62" s="2"/>
      <c r="F62" s="7">
        <v>43289</v>
      </c>
      <c r="G62" s="7">
        <v>43309</v>
      </c>
      <c r="H62" s="128">
        <v>8</v>
      </c>
      <c r="I62" s="188">
        <v>4</v>
      </c>
      <c r="J62" s="124">
        <v>17</v>
      </c>
      <c r="K62" s="125">
        <v>6</v>
      </c>
      <c r="L62" s="126">
        <v>26</v>
      </c>
      <c r="M62" s="136">
        <v>8</v>
      </c>
      <c r="N62" s="17">
        <v>0</v>
      </c>
      <c r="O62" s="18">
        <v>0</v>
      </c>
      <c r="P62" s="19">
        <v>0</v>
      </c>
      <c r="Q62" s="35">
        <v>0</v>
      </c>
      <c r="R62" s="74">
        <f t="shared" si="6"/>
        <v>51</v>
      </c>
      <c r="S62" s="75">
        <f t="shared" si="6"/>
        <v>18</v>
      </c>
      <c r="T62" s="8">
        <f t="shared" si="1"/>
        <v>0.35294117647058826</v>
      </c>
      <c r="U62" s="9">
        <f t="shared" si="2"/>
        <v>69</v>
      </c>
      <c r="V62" s="3">
        <v>-2</v>
      </c>
      <c r="W62" s="2">
        <v>-2</v>
      </c>
      <c r="X62" s="2">
        <v>-13</v>
      </c>
      <c r="Y62" s="2">
        <v>-1</v>
      </c>
      <c r="Z62" s="2">
        <v>6</v>
      </c>
      <c r="AA62" s="2"/>
      <c r="AB62" s="2"/>
      <c r="AC62" s="2"/>
      <c r="AD62" s="2"/>
      <c r="AE62" s="2"/>
      <c r="AF62" s="2" t="s">
        <v>65</v>
      </c>
      <c r="AG62" s="2" t="s">
        <v>368</v>
      </c>
      <c r="AH62" s="2"/>
      <c r="AI62" s="2"/>
      <c r="AJ62" s="212" t="s">
        <v>369</v>
      </c>
      <c r="AK62" s="2" t="s">
        <v>883</v>
      </c>
      <c r="AL62" s="2" t="s">
        <v>370</v>
      </c>
      <c r="AM62" s="47" t="s">
        <v>371</v>
      </c>
      <c r="AN62" s="4">
        <v>661391821</v>
      </c>
      <c r="AO62" s="2" t="s">
        <v>372</v>
      </c>
      <c r="AP62" s="33" t="s">
        <v>51</v>
      </c>
      <c r="AQ62" s="203" t="s">
        <v>373</v>
      </c>
      <c r="AR62" s="6" t="s">
        <v>52</v>
      </c>
      <c r="AS62" s="108" t="s">
        <v>53</v>
      </c>
      <c r="AT62" s="105" t="str">
        <f t="shared" si="7"/>
        <v>CG</v>
      </c>
      <c r="AU62" s="109" t="str">
        <f t="shared" si="8"/>
        <v>C</v>
      </c>
      <c r="AV62" s="110" t="s">
        <v>359</v>
      </c>
      <c r="AW62" s="111" t="e">
        <f t="shared" si="5"/>
        <v>#DIV/0!</v>
      </c>
    </row>
    <row r="63" spans="1:49" ht="56.15" customHeight="1" thickBot="1" x14ac:dyDescent="0.4">
      <c r="A63" s="154">
        <v>62</v>
      </c>
      <c r="B63" s="2" t="s">
        <v>374</v>
      </c>
      <c r="C63" s="2" t="s">
        <v>52</v>
      </c>
      <c r="D63" s="2" t="s">
        <v>64</v>
      </c>
      <c r="E63" s="2"/>
      <c r="F63" s="7">
        <v>43290</v>
      </c>
      <c r="G63" s="7">
        <v>43308</v>
      </c>
      <c r="H63" s="142">
        <v>6</v>
      </c>
      <c r="I63" s="139">
        <v>3</v>
      </c>
      <c r="J63" s="145">
        <v>16</v>
      </c>
      <c r="K63" s="143">
        <v>5</v>
      </c>
      <c r="L63" s="126">
        <v>18</v>
      </c>
      <c r="M63" s="136">
        <v>5</v>
      </c>
      <c r="N63" s="17">
        <v>0</v>
      </c>
      <c r="O63" s="147">
        <v>0</v>
      </c>
      <c r="P63" s="165">
        <v>0</v>
      </c>
      <c r="Q63" s="127">
        <v>2</v>
      </c>
      <c r="R63" s="74">
        <f t="shared" si="6"/>
        <v>40</v>
      </c>
      <c r="S63" s="75">
        <f t="shared" si="6"/>
        <v>15</v>
      </c>
      <c r="T63" s="8">
        <f t="shared" si="1"/>
        <v>0.375</v>
      </c>
      <c r="U63" s="9">
        <f t="shared" si="2"/>
        <v>55</v>
      </c>
      <c r="V63" s="3">
        <v>-4</v>
      </c>
      <c r="W63" s="2"/>
      <c r="X63" s="2">
        <v>-9</v>
      </c>
      <c r="Y63" s="2">
        <v>-1</v>
      </c>
      <c r="Z63" s="2">
        <v>3</v>
      </c>
      <c r="AA63" s="2"/>
      <c r="AB63" s="2"/>
      <c r="AC63" s="2"/>
      <c r="AD63" s="2"/>
      <c r="AE63" s="2">
        <v>2</v>
      </c>
      <c r="AF63" s="2" t="s">
        <v>65</v>
      </c>
      <c r="AG63" s="2" t="s">
        <v>376</v>
      </c>
      <c r="AH63" s="2"/>
      <c r="AI63" s="2"/>
      <c r="AJ63" s="212" t="s">
        <v>377</v>
      </c>
      <c r="AK63" s="2" t="s">
        <v>883</v>
      </c>
      <c r="AL63" s="2" t="s">
        <v>378</v>
      </c>
      <c r="AM63" s="47" t="s">
        <v>379</v>
      </c>
      <c r="AN63" s="4">
        <v>628389593</v>
      </c>
      <c r="AO63" s="2" t="s">
        <v>375</v>
      </c>
      <c r="AP63" s="33" t="s">
        <v>51</v>
      </c>
      <c r="AQ63" s="203" t="s">
        <v>373</v>
      </c>
      <c r="AR63" s="6" t="s">
        <v>52</v>
      </c>
      <c r="AS63" s="108" t="s">
        <v>53</v>
      </c>
      <c r="AT63" s="105" t="str">
        <f t="shared" si="7"/>
        <v>CG</v>
      </c>
      <c r="AU63" s="109" t="str">
        <f t="shared" si="8"/>
        <v>B</v>
      </c>
      <c r="AV63" s="110" t="s">
        <v>359</v>
      </c>
      <c r="AW63" s="111" t="e">
        <f t="shared" si="5"/>
        <v>#DIV/0!</v>
      </c>
    </row>
    <row r="64" spans="1:49" s="12" customFormat="1" ht="81" customHeight="1" thickBot="1" x14ac:dyDescent="0.4">
      <c r="A64" s="120">
        <v>63</v>
      </c>
      <c r="B64" s="2" t="s">
        <v>380</v>
      </c>
      <c r="C64" s="2" t="s">
        <v>52</v>
      </c>
      <c r="D64" s="2" t="s">
        <v>293</v>
      </c>
      <c r="E64" s="2" t="s">
        <v>383</v>
      </c>
      <c r="F64" s="7">
        <v>43293</v>
      </c>
      <c r="G64" s="7">
        <v>43307</v>
      </c>
      <c r="H64" s="27">
        <v>0</v>
      </c>
      <c r="I64" s="28">
        <v>0</v>
      </c>
      <c r="J64" s="150">
        <v>16</v>
      </c>
      <c r="K64" s="134">
        <v>6</v>
      </c>
      <c r="L64" s="132">
        <v>34</v>
      </c>
      <c r="M64" s="130">
        <v>7</v>
      </c>
      <c r="N64" s="17">
        <v>0</v>
      </c>
      <c r="O64" s="151">
        <v>0</v>
      </c>
      <c r="P64" s="19">
        <v>0</v>
      </c>
      <c r="Q64" s="35">
        <v>0</v>
      </c>
      <c r="R64" s="74">
        <f t="shared" si="6"/>
        <v>50</v>
      </c>
      <c r="S64" s="75">
        <f t="shared" si="6"/>
        <v>13</v>
      </c>
      <c r="T64" s="8">
        <f t="shared" si="1"/>
        <v>0.26</v>
      </c>
      <c r="U64" s="9">
        <f t="shared" si="2"/>
        <v>63</v>
      </c>
      <c r="V64" s="3"/>
      <c r="W64" s="2"/>
      <c r="X64" s="2"/>
      <c r="Y64" s="2"/>
      <c r="Z64" s="2">
        <v>-1</v>
      </c>
      <c r="AA64" s="2">
        <v>1</v>
      </c>
      <c r="AB64" s="2">
        <v>-4</v>
      </c>
      <c r="AC64" s="2"/>
      <c r="AD64" s="2"/>
      <c r="AE64" s="2"/>
      <c r="AF64" s="2" t="s">
        <v>65</v>
      </c>
      <c r="AG64" s="2" t="s">
        <v>384</v>
      </c>
      <c r="AH64" s="2"/>
      <c r="AI64" s="2"/>
      <c r="AJ64" s="212">
        <v>81201</v>
      </c>
      <c r="AK64" s="2" t="s">
        <v>885</v>
      </c>
      <c r="AL64" s="2" t="s">
        <v>381</v>
      </c>
      <c r="AM64" s="47" t="s">
        <v>382</v>
      </c>
      <c r="AN64" s="4">
        <v>681516995</v>
      </c>
      <c r="AO64" s="2" t="s">
        <v>381</v>
      </c>
      <c r="AP64" s="33" t="s">
        <v>51</v>
      </c>
      <c r="AQ64" s="203" t="s">
        <v>385</v>
      </c>
      <c r="AR64" s="6" t="s">
        <v>52</v>
      </c>
      <c r="AS64" s="108" t="s">
        <v>53</v>
      </c>
      <c r="AT64" s="105" t="str">
        <f t="shared" si="7"/>
        <v>CRGUE</v>
      </c>
      <c r="AU64" s="109" t="str">
        <f t="shared" si="8"/>
        <v>B</v>
      </c>
      <c r="AV64" s="110" t="s">
        <v>359</v>
      </c>
      <c r="AW64" s="111" t="e">
        <f t="shared" si="5"/>
        <v>#DIV/0!</v>
      </c>
    </row>
    <row r="65" spans="1:49" ht="86.25" customHeight="1" thickBot="1" x14ac:dyDescent="0.4">
      <c r="A65" s="120">
        <v>64</v>
      </c>
      <c r="B65" s="2" t="s">
        <v>380</v>
      </c>
      <c r="C65" s="2" t="s">
        <v>52</v>
      </c>
      <c r="D65" s="2" t="s">
        <v>386</v>
      </c>
      <c r="E65" s="2" t="s">
        <v>383</v>
      </c>
      <c r="F65" s="7">
        <v>43297</v>
      </c>
      <c r="G65" s="7">
        <v>43307</v>
      </c>
      <c r="H65" s="27">
        <v>13</v>
      </c>
      <c r="I65" s="28">
        <v>4</v>
      </c>
      <c r="J65" s="29">
        <v>0</v>
      </c>
      <c r="K65" s="30">
        <v>0</v>
      </c>
      <c r="L65" s="31">
        <v>0</v>
      </c>
      <c r="M65" s="32">
        <v>0</v>
      </c>
      <c r="N65" s="17">
        <v>0</v>
      </c>
      <c r="O65" s="18">
        <v>0</v>
      </c>
      <c r="P65" s="19">
        <v>0</v>
      </c>
      <c r="Q65" s="35">
        <v>0</v>
      </c>
      <c r="R65" s="74">
        <f t="shared" si="6"/>
        <v>13</v>
      </c>
      <c r="S65" s="75">
        <f t="shared" si="6"/>
        <v>4</v>
      </c>
      <c r="T65" s="8">
        <f t="shared" si="1"/>
        <v>0.30769230769230771</v>
      </c>
      <c r="U65" s="9">
        <f t="shared" si="2"/>
        <v>17</v>
      </c>
      <c r="V65" s="3"/>
      <c r="W65" s="2"/>
      <c r="X65" s="2"/>
      <c r="Y65" s="2"/>
      <c r="Z65" s="2"/>
      <c r="AA65" s="2"/>
      <c r="AB65" s="2"/>
      <c r="AC65" s="2"/>
      <c r="AD65" s="2"/>
      <c r="AE65" s="2"/>
      <c r="AF65" s="2" t="s">
        <v>148</v>
      </c>
      <c r="AG65" s="2" t="s">
        <v>384</v>
      </c>
      <c r="AH65" s="2"/>
      <c r="AI65" s="2"/>
      <c r="AJ65" s="212">
        <v>81201</v>
      </c>
      <c r="AK65" s="2" t="s">
        <v>885</v>
      </c>
      <c r="AL65" s="2" t="s">
        <v>387</v>
      </c>
      <c r="AM65" s="47" t="s">
        <v>388</v>
      </c>
      <c r="AN65" s="4">
        <v>626960484</v>
      </c>
      <c r="AO65" s="2" t="s">
        <v>381</v>
      </c>
      <c r="AP65" s="33" t="s">
        <v>51</v>
      </c>
      <c r="AQ65" s="203" t="s">
        <v>385</v>
      </c>
      <c r="AR65" s="6" t="s">
        <v>52</v>
      </c>
      <c r="AS65" s="108" t="s">
        <v>53</v>
      </c>
      <c r="AT65" s="105" t="str">
        <f t="shared" si="7"/>
        <v>CRGULI</v>
      </c>
      <c r="AU65" s="109" t="str">
        <f t="shared" si="8"/>
        <v>A</v>
      </c>
      <c r="AV65" s="110" t="s">
        <v>359</v>
      </c>
      <c r="AW65" s="111" t="e">
        <f t="shared" si="5"/>
        <v>#DIV/0!</v>
      </c>
    </row>
    <row r="66" spans="1:49" ht="56.15" customHeight="1" thickBot="1" x14ac:dyDescent="0.4">
      <c r="A66" s="120">
        <v>65</v>
      </c>
      <c r="B66" s="2" t="s">
        <v>389</v>
      </c>
      <c r="C66" s="2" t="s">
        <v>390</v>
      </c>
      <c r="D66" s="2" t="s">
        <v>64</v>
      </c>
      <c r="E66" s="2"/>
      <c r="F66" s="7">
        <v>43289</v>
      </c>
      <c r="G66" s="7">
        <v>43296</v>
      </c>
      <c r="H66" s="152">
        <v>0</v>
      </c>
      <c r="I66" s="139">
        <v>0</v>
      </c>
      <c r="J66" s="150">
        <v>6</v>
      </c>
      <c r="K66" s="134">
        <v>2</v>
      </c>
      <c r="L66" s="166">
        <v>6</v>
      </c>
      <c r="M66" s="136">
        <v>2</v>
      </c>
      <c r="N66" s="17">
        <v>0</v>
      </c>
      <c r="O66" s="18">
        <v>0</v>
      </c>
      <c r="P66" s="19">
        <v>0</v>
      </c>
      <c r="Q66" s="35">
        <v>0</v>
      </c>
      <c r="R66" s="74">
        <f t="shared" ref="R66:S98" si="9">H66+J66+L66+N66+P66</f>
        <v>12</v>
      </c>
      <c r="S66" s="75">
        <f t="shared" si="9"/>
        <v>4</v>
      </c>
      <c r="T66" s="8">
        <f t="shared" ref="T66:T129" si="10">S66/R66</f>
        <v>0.33333333333333331</v>
      </c>
      <c r="U66" s="9">
        <f t="shared" ref="U66:U129" si="11">R66+S66</f>
        <v>16</v>
      </c>
      <c r="V66" s="3"/>
      <c r="W66" s="2"/>
      <c r="X66" s="2"/>
      <c r="Y66" s="2"/>
      <c r="Z66" s="2"/>
      <c r="AA66" s="2"/>
      <c r="AB66" s="2"/>
      <c r="AC66" s="2"/>
      <c r="AD66" s="2"/>
      <c r="AE66" s="2"/>
      <c r="AF66" s="2" t="s">
        <v>148</v>
      </c>
      <c r="AG66" s="2" t="s">
        <v>393</v>
      </c>
      <c r="AH66" s="2"/>
      <c r="AI66" s="2"/>
      <c r="AJ66" s="212" t="s">
        <v>394</v>
      </c>
      <c r="AK66" s="2" t="s">
        <v>883</v>
      </c>
      <c r="AL66" s="2" t="s">
        <v>391</v>
      </c>
      <c r="AM66" s="47" t="s">
        <v>392</v>
      </c>
      <c r="AN66" s="4">
        <v>601870488</v>
      </c>
      <c r="AO66" s="2" t="s">
        <v>391</v>
      </c>
      <c r="AP66" s="33" t="s">
        <v>51</v>
      </c>
      <c r="AQ66" s="203" t="s">
        <v>395</v>
      </c>
      <c r="AR66" s="6" t="s">
        <v>102</v>
      </c>
      <c r="AS66" s="108" t="s">
        <v>53</v>
      </c>
      <c r="AT66" s="105" t="str">
        <f t="shared" si="7"/>
        <v>CG</v>
      </c>
      <c r="AU66" s="109" t="str">
        <f t="shared" ref="AU66:AU97" si="12">IF(R66&lt;=20,"A",IF(AND(R66&gt;=21,R66&lt;=50),"B",IF(AND(R66&gt;=51,R66&lt;=80),"C",IF(R66&gt;80,"D"))))</f>
        <v>A</v>
      </c>
      <c r="AV66" s="110" t="s">
        <v>359</v>
      </c>
      <c r="AW66" s="111" t="e">
        <f t="shared" ref="AW66:AW82" si="13">BV66/BW66</f>
        <v>#DIV/0!</v>
      </c>
    </row>
    <row r="67" spans="1:49" ht="92.25" customHeight="1" thickBot="1" x14ac:dyDescent="0.4">
      <c r="A67" s="120">
        <v>66</v>
      </c>
      <c r="B67" s="2" t="s">
        <v>396</v>
      </c>
      <c r="C67" s="2" t="s">
        <v>390</v>
      </c>
      <c r="D67" s="2" t="s">
        <v>64</v>
      </c>
      <c r="E67" s="2"/>
      <c r="F67" s="7">
        <v>43291</v>
      </c>
      <c r="G67" s="7">
        <v>43309</v>
      </c>
      <c r="H67" s="123">
        <v>5</v>
      </c>
      <c r="I67" s="28">
        <v>1</v>
      </c>
      <c r="J67" s="124">
        <v>23</v>
      </c>
      <c r="K67" s="131">
        <v>4</v>
      </c>
      <c r="L67" s="31">
        <v>18</v>
      </c>
      <c r="M67" s="130">
        <v>4</v>
      </c>
      <c r="N67" s="17">
        <v>0</v>
      </c>
      <c r="O67" s="18">
        <v>0</v>
      </c>
      <c r="P67" s="192">
        <v>0</v>
      </c>
      <c r="Q67" s="127">
        <v>4</v>
      </c>
      <c r="R67" s="74">
        <f t="shared" si="9"/>
        <v>46</v>
      </c>
      <c r="S67" s="75">
        <f t="shared" si="9"/>
        <v>13</v>
      </c>
      <c r="T67" s="8">
        <f t="shared" si="10"/>
        <v>0.28260869565217389</v>
      </c>
      <c r="U67" s="9">
        <f t="shared" si="11"/>
        <v>59</v>
      </c>
      <c r="V67" s="3">
        <v>1</v>
      </c>
      <c r="W67" s="2"/>
      <c r="X67" s="2">
        <v>-1</v>
      </c>
      <c r="Y67" s="2">
        <v>1</v>
      </c>
      <c r="Z67" s="2"/>
      <c r="AA67" s="2">
        <v>1</v>
      </c>
      <c r="AB67" s="2"/>
      <c r="AC67" s="2"/>
      <c r="AD67" s="2">
        <v>-1</v>
      </c>
      <c r="AE67" s="2">
        <v>4</v>
      </c>
      <c r="AF67" s="2" t="s">
        <v>148</v>
      </c>
      <c r="AG67" s="2" t="s">
        <v>398</v>
      </c>
      <c r="AH67" s="2"/>
      <c r="AI67" s="2"/>
      <c r="AJ67" s="212" t="s">
        <v>399</v>
      </c>
      <c r="AK67" s="2" t="s">
        <v>883</v>
      </c>
      <c r="AL67" s="2" t="s">
        <v>400</v>
      </c>
      <c r="AM67" s="47" t="s">
        <v>401</v>
      </c>
      <c r="AN67" s="4">
        <v>670549444</v>
      </c>
      <c r="AO67" s="2" t="s">
        <v>397</v>
      </c>
      <c r="AP67" s="33" t="s">
        <v>51</v>
      </c>
      <c r="AQ67" s="203" t="s">
        <v>402</v>
      </c>
      <c r="AR67" s="6" t="s">
        <v>54</v>
      </c>
      <c r="AS67" s="108" t="s">
        <v>53</v>
      </c>
      <c r="AT67" s="105" t="str">
        <f t="shared" ref="AT67:AT130" si="14">IF(D67="Camp d'unité Ainés","CUA",IF(D67="camp d'unité éclés","CUE",IF(D67="Camp d'unité louveteaux","CULO",IF(D67="Camp d'unité lutins","CULI",IF(D67="Camp de groupe","CG",IF(D67="Camp régional","CR",IF(D67="Camp de regroupement","CGG",IF(D67="Camp de regroupement d'unité Ainés","CRGUA",IF(D67="Camp de regroupement d'unité éclés","CRGUE",IF(D67="Camp de regroupement d'unité louveteaux","CRGULO",IF(D67="Camp de regroupement d'unité lutins","CRGULI",IF(D67="Camp inter groupe","CIG",IF(D67="Séjours adaptés mineurs","SAM",IF(D67="Séjours adaptés adultes","SAA",IF(D67="Séjours ouverts","SOU",IF(D67="Camp régional ouvert","RO"))))))))))))))))</f>
        <v>CG</v>
      </c>
      <c r="AU67" s="109" t="str">
        <f t="shared" si="12"/>
        <v>B</v>
      </c>
      <c r="AV67" s="110" t="s">
        <v>359</v>
      </c>
      <c r="AW67" s="111" t="e">
        <f t="shared" si="13"/>
        <v>#DIV/0!</v>
      </c>
    </row>
    <row r="68" spans="1:49" ht="56.15" customHeight="1" thickBot="1" x14ac:dyDescent="0.4">
      <c r="A68" s="154">
        <v>67</v>
      </c>
      <c r="B68" s="2" t="s">
        <v>403</v>
      </c>
      <c r="C68" s="2" t="s">
        <v>390</v>
      </c>
      <c r="D68" s="2" t="s">
        <v>351</v>
      </c>
      <c r="E68" s="2" t="s">
        <v>405</v>
      </c>
      <c r="F68" s="7">
        <v>43289</v>
      </c>
      <c r="G68" s="7">
        <v>43303</v>
      </c>
      <c r="H68" s="142">
        <v>6</v>
      </c>
      <c r="I68" s="139">
        <v>3</v>
      </c>
      <c r="J68" s="129">
        <v>31</v>
      </c>
      <c r="K68" s="143">
        <v>5</v>
      </c>
      <c r="L68" s="31">
        <v>0</v>
      </c>
      <c r="M68" s="32">
        <v>0</v>
      </c>
      <c r="N68" s="17">
        <v>0</v>
      </c>
      <c r="O68" s="18">
        <v>0</v>
      </c>
      <c r="P68" s="19">
        <v>0</v>
      </c>
      <c r="Q68" s="144">
        <v>2</v>
      </c>
      <c r="R68" s="74">
        <f t="shared" si="9"/>
        <v>37</v>
      </c>
      <c r="S68" s="75">
        <f t="shared" si="9"/>
        <v>10</v>
      </c>
      <c r="T68" s="8">
        <f t="shared" si="10"/>
        <v>0.27027027027027029</v>
      </c>
      <c r="U68" s="9">
        <f t="shared" si="11"/>
        <v>47</v>
      </c>
      <c r="V68" s="3">
        <v>-2</v>
      </c>
      <c r="W68" s="2"/>
      <c r="X68" s="2">
        <v>1</v>
      </c>
      <c r="Y68" s="2">
        <v>-1</v>
      </c>
      <c r="Z68" s="2"/>
      <c r="AA68" s="2"/>
      <c r="AB68" s="2"/>
      <c r="AC68" s="2"/>
      <c r="AD68" s="2"/>
      <c r="AE68" s="2">
        <v>-1</v>
      </c>
      <c r="AF68" s="2" t="s">
        <v>148</v>
      </c>
      <c r="AG68" s="2" t="s">
        <v>406</v>
      </c>
      <c r="AH68" s="2"/>
      <c r="AI68" s="2"/>
      <c r="AJ68" s="212" t="s">
        <v>407</v>
      </c>
      <c r="AK68" s="2" t="s">
        <v>883</v>
      </c>
      <c r="AL68" s="2" t="s">
        <v>408</v>
      </c>
      <c r="AM68" s="47" t="s">
        <v>409</v>
      </c>
      <c r="AN68" s="4">
        <v>659209733</v>
      </c>
      <c r="AO68" s="2" t="s">
        <v>404</v>
      </c>
      <c r="AP68" s="33" t="s">
        <v>51</v>
      </c>
      <c r="AQ68" s="203" t="s">
        <v>191</v>
      </c>
      <c r="AR68" s="6" t="s">
        <v>100</v>
      </c>
      <c r="AS68" s="108" t="s">
        <v>53</v>
      </c>
      <c r="AT68" s="105" t="str">
        <f t="shared" si="14"/>
        <v>CGG</v>
      </c>
      <c r="AU68" s="109" t="str">
        <f t="shared" si="12"/>
        <v>B</v>
      </c>
      <c r="AV68" s="110" t="s">
        <v>359</v>
      </c>
      <c r="AW68" s="111" t="e">
        <f t="shared" si="13"/>
        <v>#DIV/0!</v>
      </c>
    </row>
    <row r="69" spans="1:49" ht="75.75" customHeight="1" thickBot="1" x14ac:dyDescent="0.4">
      <c r="A69" s="154">
        <v>68</v>
      </c>
      <c r="B69" s="2" t="s">
        <v>403</v>
      </c>
      <c r="C69" s="2" t="s">
        <v>390</v>
      </c>
      <c r="D69" s="2" t="s">
        <v>293</v>
      </c>
      <c r="E69" s="2" t="s">
        <v>410</v>
      </c>
      <c r="F69" s="7">
        <v>43289</v>
      </c>
      <c r="G69" s="7">
        <v>43303</v>
      </c>
      <c r="H69" s="27">
        <v>0</v>
      </c>
      <c r="I69" s="28">
        <v>0</v>
      </c>
      <c r="J69" s="29">
        <v>0</v>
      </c>
      <c r="K69" s="30">
        <v>0</v>
      </c>
      <c r="L69" s="126">
        <v>33</v>
      </c>
      <c r="M69" s="136">
        <v>4</v>
      </c>
      <c r="N69" s="17">
        <v>0</v>
      </c>
      <c r="O69" s="18">
        <v>0</v>
      </c>
      <c r="P69" s="19">
        <v>0</v>
      </c>
      <c r="Q69" s="127">
        <v>2</v>
      </c>
      <c r="R69" s="74">
        <f t="shared" si="9"/>
        <v>33</v>
      </c>
      <c r="S69" s="75">
        <f t="shared" si="9"/>
        <v>6</v>
      </c>
      <c r="T69" s="8">
        <f t="shared" si="10"/>
        <v>0.18181818181818182</v>
      </c>
      <c r="U69" s="9">
        <f t="shared" si="11"/>
        <v>39</v>
      </c>
      <c r="V69" s="3"/>
      <c r="W69" s="2"/>
      <c r="X69" s="2"/>
      <c r="Y69" s="2"/>
      <c r="Z69" s="2">
        <v>9</v>
      </c>
      <c r="AA69" s="2"/>
      <c r="AB69" s="2"/>
      <c r="AC69" s="2"/>
      <c r="AD69" s="2"/>
      <c r="AE69" s="2">
        <v>1</v>
      </c>
      <c r="AF69" s="2" t="s">
        <v>148</v>
      </c>
      <c r="AG69" s="2" t="s">
        <v>411</v>
      </c>
      <c r="AH69" s="2"/>
      <c r="AI69" s="2"/>
      <c r="AJ69" s="212" t="s">
        <v>412</v>
      </c>
      <c r="AK69" s="2" t="s">
        <v>889</v>
      </c>
      <c r="AL69" s="2" t="s">
        <v>159</v>
      </c>
      <c r="AM69" s="47" t="s">
        <v>160</v>
      </c>
      <c r="AN69" s="4">
        <v>769355118</v>
      </c>
      <c r="AO69" s="2" t="s">
        <v>404</v>
      </c>
      <c r="AP69" s="33" t="s">
        <v>51</v>
      </c>
      <c r="AQ69" s="203" t="s">
        <v>413</v>
      </c>
      <c r="AR69" s="6" t="s">
        <v>100</v>
      </c>
      <c r="AS69" s="108" t="s">
        <v>53</v>
      </c>
      <c r="AT69" s="105" t="str">
        <f t="shared" si="14"/>
        <v>CRGUE</v>
      </c>
      <c r="AU69" s="109" t="str">
        <f t="shared" si="12"/>
        <v>B</v>
      </c>
      <c r="AV69" s="110" t="s">
        <v>359</v>
      </c>
      <c r="AW69" s="111" t="e">
        <f t="shared" si="13"/>
        <v>#DIV/0!</v>
      </c>
    </row>
    <row r="70" spans="1:49" ht="80.25" customHeight="1" thickBot="1" x14ac:dyDescent="0.4">
      <c r="A70" s="154">
        <v>69</v>
      </c>
      <c r="B70" s="2" t="s">
        <v>414</v>
      </c>
      <c r="C70" s="2" t="s">
        <v>390</v>
      </c>
      <c r="D70" s="2" t="s">
        <v>64</v>
      </c>
      <c r="E70" s="2"/>
      <c r="F70" s="7">
        <v>43289</v>
      </c>
      <c r="G70" s="7">
        <v>43310</v>
      </c>
      <c r="H70" s="128">
        <v>14</v>
      </c>
      <c r="I70" s="133">
        <v>5</v>
      </c>
      <c r="J70" s="124">
        <v>34</v>
      </c>
      <c r="K70" s="134">
        <v>7</v>
      </c>
      <c r="L70" s="135">
        <v>58</v>
      </c>
      <c r="M70" s="136">
        <v>7</v>
      </c>
      <c r="N70" s="17">
        <v>0</v>
      </c>
      <c r="O70" s="18">
        <v>0</v>
      </c>
      <c r="P70" s="137">
        <v>4</v>
      </c>
      <c r="Q70" s="138">
        <v>3</v>
      </c>
      <c r="R70" s="74">
        <f t="shared" si="9"/>
        <v>110</v>
      </c>
      <c r="S70" s="75">
        <f t="shared" si="9"/>
        <v>22</v>
      </c>
      <c r="T70" s="8">
        <f t="shared" si="10"/>
        <v>0.2</v>
      </c>
      <c r="U70" s="9">
        <f t="shared" si="11"/>
        <v>132</v>
      </c>
      <c r="V70" s="3">
        <v>-4</v>
      </c>
      <c r="W70" s="2">
        <v>1</v>
      </c>
      <c r="X70" s="2">
        <v>-5</v>
      </c>
      <c r="Y70" s="2"/>
      <c r="Z70" s="2">
        <v>-5</v>
      </c>
      <c r="AA70" s="2"/>
      <c r="AB70" s="2"/>
      <c r="AC70" s="2"/>
      <c r="AD70" s="2">
        <v>4</v>
      </c>
      <c r="AE70" s="2"/>
      <c r="AF70" s="2" t="s">
        <v>148</v>
      </c>
      <c r="AG70" s="2" t="s">
        <v>416</v>
      </c>
      <c r="AH70" s="2"/>
      <c r="AI70" s="2"/>
      <c r="AJ70" s="212" t="s">
        <v>1203</v>
      </c>
      <c r="AK70" s="2" t="s">
        <v>881</v>
      </c>
      <c r="AL70" s="2" t="s">
        <v>417</v>
      </c>
      <c r="AM70" s="47" t="s">
        <v>418</v>
      </c>
      <c r="AN70" s="4">
        <v>627951394</v>
      </c>
      <c r="AO70" s="2" t="s">
        <v>415</v>
      </c>
      <c r="AP70" s="33" t="s">
        <v>51</v>
      </c>
      <c r="AQ70" s="203" t="s">
        <v>419</v>
      </c>
      <c r="AR70" s="6" t="s">
        <v>420</v>
      </c>
      <c r="AS70" s="108" t="s">
        <v>53</v>
      </c>
      <c r="AT70" s="105" t="str">
        <f t="shared" si="14"/>
        <v>CG</v>
      </c>
      <c r="AU70" s="109" t="str">
        <f t="shared" si="12"/>
        <v>D</v>
      </c>
      <c r="AV70" s="110" t="s">
        <v>359</v>
      </c>
      <c r="AW70" s="111" t="e">
        <f t="shared" si="13"/>
        <v>#DIV/0!</v>
      </c>
    </row>
    <row r="71" spans="1:49" ht="56.15" customHeight="1" thickBot="1" x14ac:dyDescent="0.4">
      <c r="A71" s="120">
        <v>70</v>
      </c>
      <c r="B71" s="2" t="s">
        <v>414</v>
      </c>
      <c r="C71" s="2" t="s">
        <v>390</v>
      </c>
      <c r="D71" s="14" t="s">
        <v>360</v>
      </c>
      <c r="E71" s="2"/>
      <c r="F71" s="7">
        <v>43317</v>
      </c>
      <c r="G71" s="7">
        <v>43339</v>
      </c>
      <c r="H71" s="27">
        <v>0</v>
      </c>
      <c r="I71" s="28">
        <v>0</v>
      </c>
      <c r="J71" s="29">
        <v>0</v>
      </c>
      <c r="K71" s="30">
        <v>0</v>
      </c>
      <c r="L71" s="31">
        <v>0</v>
      </c>
      <c r="M71" s="32">
        <v>0</v>
      </c>
      <c r="N71" s="153">
        <v>19</v>
      </c>
      <c r="O71" s="147">
        <v>3</v>
      </c>
      <c r="P71" s="19">
        <v>0</v>
      </c>
      <c r="Q71" s="138">
        <v>1</v>
      </c>
      <c r="R71" s="74">
        <f t="shared" si="9"/>
        <v>19</v>
      </c>
      <c r="S71" s="75">
        <f t="shared" si="9"/>
        <v>4</v>
      </c>
      <c r="T71" s="8">
        <f t="shared" si="10"/>
        <v>0.21052631578947367</v>
      </c>
      <c r="U71" s="9">
        <f t="shared" si="11"/>
        <v>23</v>
      </c>
      <c r="V71" s="3"/>
      <c r="W71" s="2"/>
      <c r="X71" s="2"/>
      <c r="Y71" s="2"/>
      <c r="Z71" s="2"/>
      <c r="AA71" s="2"/>
      <c r="AB71" s="2"/>
      <c r="AC71" s="2"/>
      <c r="AD71" s="2"/>
      <c r="AE71" s="2"/>
      <c r="AF71" s="2" t="s">
        <v>148</v>
      </c>
      <c r="AG71" s="2"/>
      <c r="AH71" s="2" t="s">
        <v>421</v>
      </c>
      <c r="AI71" s="2"/>
      <c r="AJ71" s="212" t="s">
        <v>422</v>
      </c>
      <c r="AK71" s="2" t="s">
        <v>884</v>
      </c>
      <c r="AL71" s="2" t="s">
        <v>423</v>
      </c>
      <c r="AM71" s="47" t="s">
        <v>424</v>
      </c>
      <c r="AN71" s="4">
        <v>642674494</v>
      </c>
      <c r="AO71" s="2" t="s">
        <v>415</v>
      </c>
      <c r="AP71" s="33" t="s">
        <v>122</v>
      </c>
      <c r="AQ71" s="203"/>
      <c r="AR71" s="6"/>
      <c r="AS71" s="108" t="s">
        <v>53</v>
      </c>
      <c r="AT71" s="105" t="str">
        <f t="shared" si="14"/>
        <v>CUA</v>
      </c>
      <c r="AU71" s="109" t="str">
        <f t="shared" si="12"/>
        <v>A</v>
      </c>
      <c r="AV71" s="110" t="s">
        <v>359</v>
      </c>
      <c r="AW71" s="111" t="e">
        <f t="shared" si="13"/>
        <v>#DIV/0!</v>
      </c>
    </row>
    <row r="72" spans="1:49" ht="56.15" customHeight="1" thickBot="1" x14ac:dyDescent="0.4">
      <c r="A72" s="120">
        <v>71</v>
      </c>
      <c r="B72" s="2" t="s">
        <v>380</v>
      </c>
      <c r="C72" s="2" t="s">
        <v>52</v>
      </c>
      <c r="D72" s="14" t="s">
        <v>360</v>
      </c>
      <c r="E72" s="2"/>
      <c r="F72" s="7">
        <v>43296</v>
      </c>
      <c r="G72" s="7">
        <v>43310</v>
      </c>
      <c r="H72" s="27">
        <v>0</v>
      </c>
      <c r="I72" s="28">
        <v>0</v>
      </c>
      <c r="J72" s="29">
        <v>0</v>
      </c>
      <c r="K72" s="30">
        <v>0</v>
      </c>
      <c r="L72" s="31">
        <v>0</v>
      </c>
      <c r="M72" s="32">
        <v>0</v>
      </c>
      <c r="N72" s="149">
        <v>7</v>
      </c>
      <c r="O72" s="147">
        <v>2</v>
      </c>
      <c r="P72" s="19">
        <v>0</v>
      </c>
      <c r="Q72" s="35">
        <v>0</v>
      </c>
      <c r="R72" s="74">
        <f t="shared" si="9"/>
        <v>7</v>
      </c>
      <c r="S72" s="75">
        <f t="shared" si="9"/>
        <v>2</v>
      </c>
      <c r="T72" s="8">
        <f t="shared" si="10"/>
        <v>0.2857142857142857</v>
      </c>
      <c r="U72" s="9">
        <f t="shared" si="11"/>
        <v>9</v>
      </c>
      <c r="V72" s="3"/>
      <c r="W72" s="2"/>
      <c r="X72" s="2"/>
      <c r="Y72" s="2"/>
      <c r="Z72" s="2"/>
      <c r="AA72" s="2"/>
      <c r="AB72" s="2">
        <v>-1</v>
      </c>
      <c r="AC72" s="2"/>
      <c r="AD72" s="2"/>
      <c r="AE72" s="2"/>
      <c r="AF72" s="2" t="s">
        <v>65</v>
      </c>
      <c r="AG72" s="2" t="s">
        <v>425</v>
      </c>
      <c r="AH72" s="2"/>
      <c r="AI72" s="2"/>
      <c r="AJ72" s="212" t="s">
        <v>426</v>
      </c>
      <c r="AK72" s="2" t="s">
        <v>883</v>
      </c>
      <c r="AL72" s="2" t="s">
        <v>427</v>
      </c>
      <c r="AM72" s="47" t="s">
        <v>428</v>
      </c>
      <c r="AN72" s="4">
        <v>689481728</v>
      </c>
      <c r="AO72" s="2" t="s">
        <v>381</v>
      </c>
      <c r="AP72" s="33" t="s">
        <v>51</v>
      </c>
      <c r="AQ72" s="203" t="s">
        <v>429</v>
      </c>
      <c r="AR72" s="6" t="s">
        <v>52</v>
      </c>
      <c r="AS72" s="108" t="s">
        <v>53</v>
      </c>
      <c r="AT72" s="105" t="str">
        <f t="shared" si="14"/>
        <v>CUA</v>
      </c>
      <c r="AU72" s="109" t="str">
        <f t="shared" si="12"/>
        <v>A</v>
      </c>
      <c r="AV72" s="110" t="s">
        <v>359</v>
      </c>
      <c r="AW72" s="111" t="e">
        <f t="shared" si="13"/>
        <v>#DIV/0!</v>
      </c>
    </row>
    <row r="73" spans="1:49" ht="56.15" customHeight="1" thickBot="1" x14ac:dyDescent="0.4">
      <c r="A73" s="120">
        <v>72</v>
      </c>
      <c r="B73" s="2" t="s">
        <v>430</v>
      </c>
      <c r="C73" s="2" t="s">
        <v>52</v>
      </c>
      <c r="D73" s="2" t="s">
        <v>64</v>
      </c>
      <c r="E73" s="7"/>
      <c r="F73" s="7">
        <v>43292</v>
      </c>
      <c r="G73" s="7">
        <v>43306</v>
      </c>
      <c r="H73" s="142">
        <v>10</v>
      </c>
      <c r="I73" s="28">
        <v>3</v>
      </c>
      <c r="J73" s="145">
        <v>11</v>
      </c>
      <c r="K73" s="30">
        <v>3</v>
      </c>
      <c r="L73" s="31">
        <v>0</v>
      </c>
      <c r="M73" s="32">
        <v>0</v>
      </c>
      <c r="N73" s="17">
        <v>0</v>
      </c>
      <c r="O73" s="18">
        <v>0</v>
      </c>
      <c r="P73" s="19">
        <v>0</v>
      </c>
      <c r="Q73" s="35">
        <v>0</v>
      </c>
      <c r="R73" s="74">
        <f t="shared" si="9"/>
        <v>21</v>
      </c>
      <c r="S73" s="75">
        <f t="shared" si="9"/>
        <v>6</v>
      </c>
      <c r="T73" s="8">
        <f t="shared" si="10"/>
        <v>0.2857142857142857</v>
      </c>
      <c r="U73" s="9">
        <f t="shared" si="11"/>
        <v>27</v>
      </c>
      <c r="V73" s="3">
        <v>-1</v>
      </c>
      <c r="W73" s="2"/>
      <c r="X73" s="2">
        <v>-2</v>
      </c>
      <c r="Y73" s="2"/>
      <c r="Z73" s="2"/>
      <c r="AA73" s="2"/>
      <c r="AB73" s="2"/>
      <c r="AC73" s="2"/>
      <c r="AD73" s="2"/>
      <c r="AE73" s="2"/>
      <c r="AF73" s="2" t="s">
        <v>148</v>
      </c>
      <c r="AG73" s="2" t="s">
        <v>432</v>
      </c>
      <c r="AH73" s="2"/>
      <c r="AI73" s="2"/>
      <c r="AJ73" s="212" t="s">
        <v>433</v>
      </c>
      <c r="AK73" s="2" t="s">
        <v>889</v>
      </c>
      <c r="AL73" s="2" t="s">
        <v>434</v>
      </c>
      <c r="AM73" s="47" t="s">
        <v>435</v>
      </c>
      <c r="AN73" s="4">
        <v>661564226</v>
      </c>
      <c r="AO73" s="2" t="s">
        <v>431</v>
      </c>
      <c r="AP73" s="33" t="s">
        <v>51</v>
      </c>
      <c r="AQ73" s="203" t="s">
        <v>436</v>
      </c>
      <c r="AR73" s="6" t="s">
        <v>437</v>
      </c>
      <c r="AS73" s="108" t="s">
        <v>53</v>
      </c>
      <c r="AT73" s="105" t="str">
        <f t="shared" si="14"/>
        <v>CG</v>
      </c>
      <c r="AU73" s="109" t="str">
        <f t="shared" si="12"/>
        <v>B</v>
      </c>
      <c r="AV73" s="110" t="s">
        <v>359</v>
      </c>
      <c r="AW73" s="111" t="e">
        <f t="shared" si="13"/>
        <v>#DIV/0!</v>
      </c>
    </row>
    <row r="74" spans="1:49" ht="56.15" customHeight="1" thickBot="1" x14ac:dyDescent="0.4">
      <c r="A74" s="120">
        <v>73</v>
      </c>
      <c r="B74" s="2" t="s">
        <v>430</v>
      </c>
      <c r="C74" s="2" t="s">
        <v>52</v>
      </c>
      <c r="D74" s="2" t="s">
        <v>205</v>
      </c>
      <c r="E74" s="7"/>
      <c r="F74" s="7">
        <v>43292</v>
      </c>
      <c r="G74" s="7">
        <v>43306</v>
      </c>
      <c r="H74" s="27">
        <v>0</v>
      </c>
      <c r="I74" s="28">
        <v>0</v>
      </c>
      <c r="J74" s="29">
        <v>0</v>
      </c>
      <c r="K74" s="30">
        <v>0</v>
      </c>
      <c r="L74" s="132">
        <v>8</v>
      </c>
      <c r="M74" s="136">
        <v>2</v>
      </c>
      <c r="N74" s="17">
        <v>0</v>
      </c>
      <c r="O74" s="18">
        <v>0</v>
      </c>
      <c r="P74" s="19">
        <v>0</v>
      </c>
      <c r="Q74" s="127">
        <v>1</v>
      </c>
      <c r="R74" s="74">
        <f t="shared" si="9"/>
        <v>8</v>
      </c>
      <c r="S74" s="75">
        <f t="shared" si="9"/>
        <v>3</v>
      </c>
      <c r="T74" s="8">
        <f t="shared" si="10"/>
        <v>0.375</v>
      </c>
      <c r="U74" s="9">
        <f t="shared" si="11"/>
        <v>11</v>
      </c>
      <c r="V74" s="3"/>
      <c r="W74" s="2"/>
      <c r="X74" s="2"/>
      <c r="Y74" s="2"/>
      <c r="Z74" s="2">
        <v>-3</v>
      </c>
      <c r="AA74" s="2"/>
      <c r="AB74" s="2"/>
      <c r="AC74" s="2"/>
      <c r="AD74" s="2"/>
      <c r="AE74" s="2">
        <v>1</v>
      </c>
      <c r="AF74" s="2" t="s">
        <v>148</v>
      </c>
      <c r="AG74" s="2" t="s">
        <v>432</v>
      </c>
      <c r="AH74" s="2"/>
      <c r="AI74" s="2"/>
      <c r="AJ74" s="212" t="s">
        <v>433</v>
      </c>
      <c r="AK74" s="2" t="s">
        <v>889</v>
      </c>
      <c r="AL74" s="2" t="s">
        <v>438</v>
      </c>
      <c r="AM74" s="47" t="s">
        <v>439</v>
      </c>
      <c r="AN74" s="4">
        <v>619509085</v>
      </c>
      <c r="AO74" s="2" t="s">
        <v>431</v>
      </c>
      <c r="AP74" s="33" t="s">
        <v>51</v>
      </c>
      <c r="AQ74" s="203" t="s">
        <v>436</v>
      </c>
      <c r="AR74" s="6" t="s">
        <v>437</v>
      </c>
      <c r="AS74" s="108" t="s">
        <v>53</v>
      </c>
      <c r="AT74" s="105" t="str">
        <f t="shared" si="14"/>
        <v>CUE</v>
      </c>
      <c r="AU74" s="109" t="str">
        <f t="shared" si="12"/>
        <v>A</v>
      </c>
      <c r="AV74" s="110" t="s">
        <v>359</v>
      </c>
      <c r="AW74" s="111" t="e">
        <f t="shared" si="13"/>
        <v>#DIV/0!</v>
      </c>
    </row>
    <row r="75" spans="1:49" ht="56.15" customHeight="1" thickBot="1" x14ac:dyDescent="0.4">
      <c r="A75" s="120">
        <v>74</v>
      </c>
      <c r="B75" s="2" t="s">
        <v>440</v>
      </c>
      <c r="C75" s="2" t="s">
        <v>390</v>
      </c>
      <c r="D75" s="2" t="s">
        <v>64</v>
      </c>
      <c r="E75" s="7"/>
      <c r="F75" s="7">
        <v>43287</v>
      </c>
      <c r="G75" s="7">
        <v>43310</v>
      </c>
      <c r="H75" s="142">
        <v>8</v>
      </c>
      <c r="I75" s="133">
        <v>5</v>
      </c>
      <c r="J75" s="145">
        <v>20</v>
      </c>
      <c r="K75" s="134">
        <v>4</v>
      </c>
      <c r="L75" s="132">
        <v>27</v>
      </c>
      <c r="M75" s="148">
        <v>4</v>
      </c>
      <c r="N75" s="149">
        <v>4</v>
      </c>
      <c r="O75" s="167">
        <v>2</v>
      </c>
      <c r="P75" s="19">
        <v>0</v>
      </c>
      <c r="Q75" s="127">
        <v>4</v>
      </c>
      <c r="R75" s="74">
        <f t="shared" si="9"/>
        <v>59</v>
      </c>
      <c r="S75" s="75">
        <f t="shared" si="9"/>
        <v>19</v>
      </c>
      <c r="T75" s="8">
        <f t="shared" si="10"/>
        <v>0.32203389830508472</v>
      </c>
      <c r="U75" s="9">
        <f t="shared" si="11"/>
        <v>78</v>
      </c>
      <c r="V75" s="3">
        <v>-1</v>
      </c>
      <c r="W75" s="2">
        <v>1</v>
      </c>
      <c r="X75" s="2">
        <v>-2</v>
      </c>
      <c r="Y75" s="2"/>
      <c r="Z75" s="2">
        <v>-3</v>
      </c>
      <c r="AA75" s="2">
        <v>-1</v>
      </c>
      <c r="AB75" s="2">
        <v>-1</v>
      </c>
      <c r="AC75" s="2">
        <v>1</v>
      </c>
      <c r="AD75" s="2"/>
      <c r="AE75" s="2">
        <v>1</v>
      </c>
      <c r="AF75" s="2" t="s">
        <v>65</v>
      </c>
      <c r="AG75" s="2" t="s">
        <v>442</v>
      </c>
      <c r="AH75" s="2"/>
      <c r="AI75" s="2"/>
      <c r="AJ75" s="212" t="s">
        <v>443</v>
      </c>
      <c r="AK75" s="2" t="s">
        <v>883</v>
      </c>
      <c r="AL75" s="2" t="s">
        <v>444</v>
      </c>
      <c r="AM75" s="48" t="s">
        <v>445</v>
      </c>
      <c r="AN75" s="4">
        <v>606735391</v>
      </c>
      <c r="AO75" s="2" t="s">
        <v>441</v>
      </c>
      <c r="AP75" s="33" t="s">
        <v>51</v>
      </c>
      <c r="AQ75" s="203" t="s">
        <v>130</v>
      </c>
      <c r="AR75" s="6" t="s">
        <v>131</v>
      </c>
      <c r="AS75" s="108" t="s">
        <v>53</v>
      </c>
      <c r="AT75" s="105" t="str">
        <f t="shared" si="14"/>
        <v>CG</v>
      </c>
      <c r="AU75" s="109" t="str">
        <f t="shared" si="12"/>
        <v>C</v>
      </c>
      <c r="AV75" s="110" t="s">
        <v>359</v>
      </c>
      <c r="AW75" s="111" t="e">
        <f t="shared" si="13"/>
        <v>#DIV/0!</v>
      </c>
    </row>
    <row r="76" spans="1:49" ht="56.15" customHeight="1" thickBot="1" x14ac:dyDescent="0.4">
      <c r="A76" s="120">
        <v>75</v>
      </c>
      <c r="B76" s="2" t="s">
        <v>446</v>
      </c>
      <c r="C76" s="2" t="s">
        <v>131</v>
      </c>
      <c r="D76" s="2" t="s">
        <v>64</v>
      </c>
      <c r="E76" s="7"/>
      <c r="F76" s="7">
        <v>43291</v>
      </c>
      <c r="G76" s="7">
        <v>43308</v>
      </c>
      <c r="H76" s="142">
        <v>0</v>
      </c>
      <c r="I76" s="168">
        <v>0</v>
      </c>
      <c r="J76" s="129">
        <v>15</v>
      </c>
      <c r="K76" s="131">
        <v>3</v>
      </c>
      <c r="L76" s="132">
        <v>20</v>
      </c>
      <c r="M76" s="148">
        <v>4</v>
      </c>
      <c r="N76" s="149">
        <v>7</v>
      </c>
      <c r="O76" s="151">
        <v>1</v>
      </c>
      <c r="P76" s="19">
        <v>0</v>
      </c>
      <c r="Q76" s="127">
        <v>5</v>
      </c>
      <c r="R76" s="74">
        <f t="shared" si="9"/>
        <v>42</v>
      </c>
      <c r="S76" s="75">
        <f t="shared" si="9"/>
        <v>13</v>
      </c>
      <c r="T76" s="8">
        <f t="shared" si="10"/>
        <v>0.30952380952380953</v>
      </c>
      <c r="U76" s="9">
        <f t="shared" si="11"/>
        <v>55</v>
      </c>
      <c r="V76" s="3">
        <v>-8</v>
      </c>
      <c r="W76" s="2">
        <v>-2</v>
      </c>
      <c r="X76" s="2">
        <v>3</v>
      </c>
      <c r="Y76" s="2">
        <v>1</v>
      </c>
      <c r="Z76" s="2">
        <v>-4</v>
      </c>
      <c r="AA76" s="2">
        <v>-1</v>
      </c>
      <c r="AB76" s="2">
        <v>-1</v>
      </c>
      <c r="AC76" s="2">
        <v>-1</v>
      </c>
      <c r="AD76" s="2"/>
      <c r="AE76" s="2">
        <v>5</v>
      </c>
      <c r="AF76" s="2" t="s">
        <v>148</v>
      </c>
      <c r="AG76" s="2" t="s">
        <v>448</v>
      </c>
      <c r="AH76" s="2"/>
      <c r="AI76" s="2"/>
      <c r="AJ76" s="212" t="s">
        <v>449</v>
      </c>
      <c r="AK76" s="2" t="s">
        <v>883</v>
      </c>
      <c r="AL76" s="2" t="s">
        <v>450</v>
      </c>
      <c r="AM76" s="48" t="s">
        <v>451</v>
      </c>
      <c r="AN76" s="4">
        <v>688907836</v>
      </c>
      <c r="AO76" s="2" t="s">
        <v>447</v>
      </c>
      <c r="AP76" s="33" t="s">
        <v>51</v>
      </c>
      <c r="AQ76" s="203" t="s">
        <v>452</v>
      </c>
      <c r="AR76" s="6" t="s">
        <v>131</v>
      </c>
      <c r="AS76" s="108" t="s">
        <v>53</v>
      </c>
      <c r="AT76" s="105" t="str">
        <f t="shared" si="14"/>
        <v>CG</v>
      </c>
      <c r="AU76" s="109" t="str">
        <f t="shared" si="12"/>
        <v>B</v>
      </c>
      <c r="AV76" s="110" t="s">
        <v>359</v>
      </c>
      <c r="AW76" s="111" t="e">
        <f t="shared" si="13"/>
        <v>#DIV/0!</v>
      </c>
    </row>
    <row r="77" spans="1:49" ht="56.15" customHeight="1" thickBot="1" x14ac:dyDescent="0.4">
      <c r="A77" s="120">
        <v>76</v>
      </c>
      <c r="B77" s="2" t="s">
        <v>453</v>
      </c>
      <c r="C77" s="2" t="s">
        <v>390</v>
      </c>
      <c r="D77" s="2" t="s">
        <v>64</v>
      </c>
      <c r="E77" s="7"/>
      <c r="F77" s="7">
        <v>43311</v>
      </c>
      <c r="G77" s="7">
        <v>43322</v>
      </c>
      <c r="H77" s="27">
        <v>0</v>
      </c>
      <c r="I77" s="28">
        <v>0</v>
      </c>
      <c r="J77" s="145">
        <v>19</v>
      </c>
      <c r="K77" s="131">
        <v>4</v>
      </c>
      <c r="L77" s="126">
        <v>11</v>
      </c>
      <c r="M77" s="136">
        <v>2</v>
      </c>
      <c r="N77" s="153">
        <v>0</v>
      </c>
      <c r="O77" s="147">
        <v>0</v>
      </c>
      <c r="P77" s="165">
        <v>0</v>
      </c>
      <c r="Q77" s="138">
        <v>4</v>
      </c>
      <c r="R77" s="74">
        <f t="shared" si="9"/>
        <v>30</v>
      </c>
      <c r="S77" s="75">
        <f t="shared" si="9"/>
        <v>10</v>
      </c>
      <c r="T77" s="8">
        <f t="shared" si="10"/>
        <v>0.33333333333333331</v>
      </c>
      <c r="U77" s="9">
        <f t="shared" si="11"/>
        <v>40</v>
      </c>
      <c r="V77" s="3"/>
      <c r="W77" s="2"/>
      <c r="X77" s="2">
        <v>-7</v>
      </c>
      <c r="Y77" s="2">
        <v>1</v>
      </c>
      <c r="Z77" s="2">
        <v>1</v>
      </c>
      <c r="AA77" s="2"/>
      <c r="AB77" s="2"/>
      <c r="AC77" s="2"/>
      <c r="AD77" s="2"/>
      <c r="AE77" s="2"/>
      <c r="AF77" s="2" t="s">
        <v>148</v>
      </c>
      <c r="AG77" s="2" t="s">
        <v>454</v>
      </c>
      <c r="AH77" s="2"/>
      <c r="AI77" s="2"/>
      <c r="AJ77" s="212" t="s">
        <v>455</v>
      </c>
      <c r="AK77" s="2" t="s">
        <v>882</v>
      </c>
      <c r="AL77" s="2" t="s">
        <v>456</v>
      </c>
      <c r="AM77" s="48" t="s">
        <v>457</v>
      </c>
      <c r="AN77" s="4">
        <v>678808063</v>
      </c>
      <c r="AO77" s="2" t="s">
        <v>458</v>
      </c>
      <c r="AP77" s="33" t="s">
        <v>87</v>
      </c>
      <c r="AQ77" s="203" t="s">
        <v>459</v>
      </c>
      <c r="AR77" s="6" t="s">
        <v>54</v>
      </c>
      <c r="AS77" s="108" t="s">
        <v>53</v>
      </c>
      <c r="AT77" s="105" t="str">
        <f t="shared" si="14"/>
        <v>CG</v>
      </c>
      <c r="AU77" s="109" t="str">
        <f t="shared" si="12"/>
        <v>B</v>
      </c>
      <c r="AV77" s="110" t="s">
        <v>359</v>
      </c>
      <c r="AW77" s="111" t="e">
        <f t="shared" si="13"/>
        <v>#DIV/0!</v>
      </c>
    </row>
    <row r="78" spans="1:49" ht="56.15" customHeight="1" thickBot="1" x14ac:dyDescent="0.4">
      <c r="A78" s="120">
        <v>77</v>
      </c>
      <c r="B78" s="2" t="s">
        <v>460</v>
      </c>
      <c r="C78" s="2" t="s">
        <v>461</v>
      </c>
      <c r="D78" s="14" t="s">
        <v>360</v>
      </c>
      <c r="E78" s="2"/>
      <c r="F78" s="7">
        <v>43312</v>
      </c>
      <c r="G78" s="7">
        <v>43339</v>
      </c>
      <c r="H78" s="27">
        <v>0</v>
      </c>
      <c r="I78" s="28">
        <v>0</v>
      </c>
      <c r="J78" s="29">
        <v>0</v>
      </c>
      <c r="K78" s="30">
        <v>0</v>
      </c>
      <c r="L78" s="31">
        <v>0</v>
      </c>
      <c r="M78" s="32">
        <v>0</v>
      </c>
      <c r="N78" s="17">
        <v>7</v>
      </c>
      <c r="O78" s="18">
        <v>2</v>
      </c>
      <c r="P78" s="19">
        <v>0</v>
      </c>
      <c r="Q78" s="35">
        <v>0</v>
      </c>
      <c r="R78" s="74">
        <f t="shared" si="9"/>
        <v>7</v>
      </c>
      <c r="S78" s="75">
        <f t="shared" si="9"/>
        <v>2</v>
      </c>
      <c r="T78" s="8">
        <f t="shared" si="10"/>
        <v>0.2857142857142857</v>
      </c>
      <c r="U78" s="9">
        <f t="shared" si="11"/>
        <v>9</v>
      </c>
      <c r="V78" s="3"/>
      <c r="W78" s="2"/>
      <c r="X78" s="2"/>
      <c r="Y78" s="2"/>
      <c r="Z78" s="2"/>
      <c r="AA78" s="2"/>
      <c r="AB78" s="2"/>
      <c r="AC78" s="2"/>
      <c r="AD78" s="2"/>
      <c r="AE78" s="2"/>
      <c r="AF78" s="2" t="s">
        <v>148</v>
      </c>
      <c r="AG78" s="2"/>
      <c r="AH78" s="2" t="s">
        <v>463</v>
      </c>
      <c r="AI78" s="2"/>
      <c r="AJ78" s="212" t="s">
        <v>133</v>
      </c>
      <c r="AK78" s="2" t="s">
        <v>884</v>
      </c>
      <c r="AL78" s="2" t="s">
        <v>464</v>
      </c>
      <c r="AM78" s="47" t="s">
        <v>465</v>
      </c>
      <c r="AN78" s="4">
        <v>615816080</v>
      </c>
      <c r="AO78" s="2" t="s">
        <v>462</v>
      </c>
      <c r="AP78" s="33" t="s">
        <v>87</v>
      </c>
      <c r="AQ78" s="203"/>
      <c r="AR78" s="6"/>
      <c r="AS78" s="108" t="s">
        <v>53</v>
      </c>
      <c r="AT78" s="105" t="str">
        <f t="shared" si="14"/>
        <v>CUA</v>
      </c>
      <c r="AU78" s="109" t="str">
        <f t="shared" si="12"/>
        <v>A</v>
      </c>
      <c r="AV78" s="110" t="s">
        <v>359</v>
      </c>
      <c r="AW78" s="111" t="e">
        <f t="shared" si="13"/>
        <v>#DIV/0!</v>
      </c>
    </row>
    <row r="79" spans="1:49" ht="56.15" customHeight="1" thickBot="1" x14ac:dyDescent="0.4">
      <c r="A79" s="120">
        <v>78</v>
      </c>
      <c r="B79" s="2" t="s">
        <v>466</v>
      </c>
      <c r="C79" s="2" t="s">
        <v>740</v>
      </c>
      <c r="D79" s="2" t="s">
        <v>64</v>
      </c>
      <c r="E79" s="2"/>
      <c r="F79" s="7">
        <v>43294</v>
      </c>
      <c r="G79" s="7">
        <v>43308</v>
      </c>
      <c r="H79" s="142">
        <v>0</v>
      </c>
      <c r="I79" s="168">
        <v>0</v>
      </c>
      <c r="J79" s="129">
        <v>8</v>
      </c>
      <c r="K79" s="131">
        <v>3</v>
      </c>
      <c r="L79" s="31">
        <v>15</v>
      </c>
      <c r="M79" s="130">
        <v>3</v>
      </c>
      <c r="N79" s="17">
        <v>4</v>
      </c>
      <c r="O79" s="167">
        <v>1</v>
      </c>
      <c r="P79" s="19">
        <v>0</v>
      </c>
      <c r="Q79" s="144">
        <v>2</v>
      </c>
      <c r="R79" s="74">
        <f t="shared" si="9"/>
        <v>27</v>
      </c>
      <c r="S79" s="75">
        <f t="shared" si="9"/>
        <v>9</v>
      </c>
      <c r="T79" s="8">
        <f t="shared" si="10"/>
        <v>0.33333333333333331</v>
      </c>
      <c r="U79" s="9">
        <f t="shared" si="11"/>
        <v>36</v>
      </c>
      <c r="V79" s="3">
        <v>-3</v>
      </c>
      <c r="W79" s="2">
        <v>-1</v>
      </c>
      <c r="X79" s="2">
        <v>4</v>
      </c>
      <c r="Y79" s="2">
        <v>1</v>
      </c>
      <c r="Z79" s="2">
        <v>0</v>
      </c>
      <c r="AA79" s="2">
        <v>1</v>
      </c>
      <c r="AB79" s="2">
        <v>0</v>
      </c>
      <c r="AC79" s="2">
        <v>1</v>
      </c>
      <c r="AD79" s="2"/>
      <c r="AE79" s="2">
        <v>-1</v>
      </c>
      <c r="AF79" s="2" t="s">
        <v>65</v>
      </c>
      <c r="AG79" s="2" t="s">
        <v>469</v>
      </c>
      <c r="AH79" s="2"/>
      <c r="AI79" s="2"/>
      <c r="AJ79" s="212" t="s">
        <v>470</v>
      </c>
      <c r="AK79" s="2" t="s">
        <v>889</v>
      </c>
      <c r="AL79" s="2" t="s">
        <v>467</v>
      </c>
      <c r="AM79" s="48" t="s">
        <v>468</v>
      </c>
      <c r="AN79" s="4">
        <v>667037901</v>
      </c>
      <c r="AO79" s="2" t="s">
        <v>467</v>
      </c>
      <c r="AP79" s="33" t="s">
        <v>51</v>
      </c>
      <c r="AQ79" s="203" t="s">
        <v>471</v>
      </c>
      <c r="AR79" s="6" t="s">
        <v>420</v>
      </c>
      <c r="AS79" s="108" t="s">
        <v>53</v>
      </c>
      <c r="AT79" s="105" t="str">
        <f t="shared" si="14"/>
        <v>CG</v>
      </c>
      <c r="AU79" s="109" t="str">
        <f t="shared" si="12"/>
        <v>B</v>
      </c>
      <c r="AV79" s="110" t="s">
        <v>359</v>
      </c>
      <c r="AW79" s="111" t="e">
        <f t="shared" si="13"/>
        <v>#DIV/0!</v>
      </c>
    </row>
    <row r="80" spans="1:49" ht="56.15" customHeight="1" thickBot="1" x14ac:dyDescent="0.4">
      <c r="A80" s="120">
        <v>79</v>
      </c>
      <c r="B80" s="2" t="s">
        <v>472</v>
      </c>
      <c r="C80" s="2" t="s">
        <v>740</v>
      </c>
      <c r="D80" s="2" t="s">
        <v>64</v>
      </c>
      <c r="E80" s="2"/>
      <c r="F80" s="7">
        <v>43289</v>
      </c>
      <c r="G80" s="7">
        <v>43296</v>
      </c>
      <c r="H80" s="128">
        <v>2</v>
      </c>
      <c r="I80" s="28">
        <v>1</v>
      </c>
      <c r="J80" s="129">
        <v>7</v>
      </c>
      <c r="K80" s="30">
        <v>1</v>
      </c>
      <c r="L80" s="126">
        <v>7</v>
      </c>
      <c r="M80" s="32">
        <v>1</v>
      </c>
      <c r="N80" s="17">
        <v>0</v>
      </c>
      <c r="O80" s="18">
        <v>0</v>
      </c>
      <c r="P80" s="19">
        <v>0</v>
      </c>
      <c r="Q80" s="127">
        <v>3</v>
      </c>
      <c r="R80" s="74">
        <f t="shared" si="9"/>
        <v>16</v>
      </c>
      <c r="S80" s="75">
        <f t="shared" si="9"/>
        <v>6</v>
      </c>
      <c r="T80" s="8">
        <f t="shared" si="10"/>
        <v>0.375</v>
      </c>
      <c r="U80" s="9">
        <f t="shared" si="11"/>
        <v>22</v>
      </c>
      <c r="V80" s="3">
        <v>-2</v>
      </c>
      <c r="W80" s="2">
        <v>0</v>
      </c>
      <c r="X80" s="2">
        <v>1</v>
      </c>
      <c r="Y80" s="2">
        <v>0</v>
      </c>
      <c r="Z80" s="2">
        <v>1</v>
      </c>
      <c r="AA80" s="2">
        <v>0</v>
      </c>
      <c r="AB80" s="2">
        <v>0</v>
      </c>
      <c r="AC80" s="2">
        <v>0</v>
      </c>
      <c r="AD80" s="2">
        <v>0</v>
      </c>
      <c r="AE80" s="2">
        <v>2</v>
      </c>
      <c r="AF80" s="2" t="s">
        <v>148</v>
      </c>
      <c r="AG80" s="2" t="s">
        <v>475</v>
      </c>
      <c r="AH80" s="2"/>
      <c r="AI80" s="2"/>
      <c r="AJ80" s="212" t="s">
        <v>905</v>
      </c>
      <c r="AK80" s="2" t="s">
        <v>885</v>
      </c>
      <c r="AL80" s="2" t="s">
        <v>473</v>
      </c>
      <c r="AM80" s="48" t="s">
        <v>474</v>
      </c>
      <c r="AN80" s="4">
        <v>380430792</v>
      </c>
      <c r="AO80" s="2" t="s">
        <v>476</v>
      </c>
      <c r="AP80" s="33" t="s">
        <v>51</v>
      </c>
      <c r="AQ80" s="203" t="s">
        <v>477</v>
      </c>
      <c r="AR80" s="6" t="s">
        <v>461</v>
      </c>
      <c r="AS80" s="108" t="s">
        <v>53</v>
      </c>
      <c r="AT80" s="105" t="str">
        <f t="shared" si="14"/>
        <v>CG</v>
      </c>
      <c r="AU80" s="109" t="str">
        <f t="shared" si="12"/>
        <v>A</v>
      </c>
      <c r="AV80" s="110" t="s">
        <v>359</v>
      </c>
      <c r="AW80" s="111" t="e">
        <f t="shared" si="13"/>
        <v>#DIV/0!</v>
      </c>
    </row>
    <row r="81" spans="1:49" ht="56.15" customHeight="1" thickBot="1" x14ac:dyDescent="0.4">
      <c r="A81" s="120">
        <v>80</v>
      </c>
      <c r="B81" s="2" t="s">
        <v>478</v>
      </c>
      <c r="C81" s="2" t="s">
        <v>43</v>
      </c>
      <c r="D81" s="2" t="s">
        <v>351</v>
      </c>
      <c r="E81" s="2" t="s">
        <v>479</v>
      </c>
      <c r="F81" s="7">
        <v>43290</v>
      </c>
      <c r="G81" s="7">
        <v>43301</v>
      </c>
      <c r="H81" s="152">
        <v>3</v>
      </c>
      <c r="I81" s="139">
        <v>2</v>
      </c>
      <c r="J81" s="124">
        <v>14</v>
      </c>
      <c r="K81" s="134">
        <v>4</v>
      </c>
      <c r="L81" s="126">
        <v>32</v>
      </c>
      <c r="M81" s="130">
        <v>5</v>
      </c>
      <c r="N81" s="17">
        <v>0</v>
      </c>
      <c r="O81" s="18">
        <v>0</v>
      </c>
      <c r="P81" s="19">
        <v>0</v>
      </c>
      <c r="Q81" s="138">
        <v>2</v>
      </c>
      <c r="R81" s="74">
        <f t="shared" si="9"/>
        <v>49</v>
      </c>
      <c r="S81" s="75">
        <f t="shared" si="9"/>
        <v>13</v>
      </c>
      <c r="T81" s="8">
        <f t="shared" si="10"/>
        <v>0.26530612244897961</v>
      </c>
      <c r="U81" s="9">
        <f t="shared" si="11"/>
        <v>62</v>
      </c>
      <c r="V81" s="3"/>
      <c r="W81" s="2"/>
      <c r="X81" s="2">
        <v>-1</v>
      </c>
      <c r="Y81" s="2"/>
      <c r="Z81" s="2">
        <v>7</v>
      </c>
      <c r="AA81" s="2">
        <v>1</v>
      </c>
      <c r="AB81" s="2"/>
      <c r="AC81" s="2"/>
      <c r="AD81" s="2"/>
      <c r="AE81" s="2"/>
      <c r="AF81" s="2" t="s">
        <v>148</v>
      </c>
      <c r="AG81" s="2" t="s">
        <v>480</v>
      </c>
      <c r="AH81" s="2"/>
      <c r="AI81" s="2"/>
      <c r="AJ81" s="212" t="s">
        <v>481</v>
      </c>
      <c r="AK81" s="2" t="s">
        <v>889</v>
      </c>
      <c r="AL81" s="2" t="s">
        <v>482</v>
      </c>
      <c r="AM81" s="48" t="s">
        <v>483</v>
      </c>
      <c r="AN81" s="4">
        <v>667224128</v>
      </c>
      <c r="AO81" s="2" t="s">
        <v>44</v>
      </c>
      <c r="AP81" s="33" t="s">
        <v>51</v>
      </c>
      <c r="AQ81" s="203" t="s">
        <v>173</v>
      </c>
      <c r="AR81" s="6" t="s">
        <v>43</v>
      </c>
      <c r="AS81" s="108" t="s">
        <v>53</v>
      </c>
      <c r="AT81" s="105" t="str">
        <f t="shared" si="14"/>
        <v>CGG</v>
      </c>
      <c r="AU81" s="109" t="str">
        <f t="shared" si="12"/>
        <v>B</v>
      </c>
      <c r="AV81" s="110" t="s">
        <v>359</v>
      </c>
      <c r="AW81" s="111" t="e">
        <f t="shared" si="13"/>
        <v>#DIV/0!</v>
      </c>
    </row>
    <row r="82" spans="1:49" ht="124.5" customHeight="1" thickBot="1" x14ac:dyDescent="0.4">
      <c r="A82" s="154">
        <v>81</v>
      </c>
      <c r="B82" s="2" t="s">
        <v>484</v>
      </c>
      <c r="C82" s="2" t="s">
        <v>390</v>
      </c>
      <c r="D82" s="2" t="s">
        <v>64</v>
      </c>
      <c r="E82" s="2"/>
      <c r="F82" s="7">
        <v>43295</v>
      </c>
      <c r="G82" s="7">
        <v>43309</v>
      </c>
      <c r="H82" s="27">
        <v>0</v>
      </c>
      <c r="I82" s="28">
        <v>0</v>
      </c>
      <c r="J82" s="145">
        <v>9</v>
      </c>
      <c r="K82" s="143">
        <v>1</v>
      </c>
      <c r="L82" s="126">
        <v>8</v>
      </c>
      <c r="M82" s="136">
        <v>1</v>
      </c>
      <c r="N82" s="17">
        <v>0</v>
      </c>
      <c r="O82" s="18">
        <v>0</v>
      </c>
      <c r="P82" s="19">
        <v>0</v>
      </c>
      <c r="Q82" s="127">
        <v>1</v>
      </c>
      <c r="R82" s="74">
        <f t="shared" si="9"/>
        <v>17</v>
      </c>
      <c r="S82" s="75">
        <f t="shared" si="9"/>
        <v>3</v>
      </c>
      <c r="T82" s="8">
        <f t="shared" si="10"/>
        <v>0.17647058823529413</v>
      </c>
      <c r="U82" s="9">
        <f t="shared" si="11"/>
        <v>20</v>
      </c>
      <c r="V82" s="3"/>
      <c r="W82" s="2"/>
      <c r="X82" s="2">
        <v>-5</v>
      </c>
      <c r="Y82" s="2">
        <v>-1</v>
      </c>
      <c r="Z82" s="2">
        <v>4</v>
      </c>
      <c r="AA82" s="2"/>
      <c r="AB82" s="2"/>
      <c r="AC82" s="2"/>
      <c r="AD82" s="2"/>
      <c r="AE82" s="2">
        <v>1</v>
      </c>
      <c r="AF82" s="2" t="s">
        <v>148</v>
      </c>
      <c r="AG82" s="2" t="s">
        <v>486</v>
      </c>
      <c r="AH82" s="2"/>
      <c r="AI82" s="2"/>
      <c r="AJ82" s="212" t="s">
        <v>487</v>
      </c>
      <c r="AK82" s="2" t="s">
        <v>883</v>
      </c>
      <c r="AL82" s="2" t="s">
        <v>488</v>
      </c>
      <c r="AM82" s="48" t="s">
        <v>590</v>
      </c>
      <c r="AN82" s="4">
        <v>672393238</v>
      </c>
      <c r="AO82" s="2" t="s">
        <v>485</v>
      </c>
      <c r="AP82" s="33" t="s">
        <v>51</v>
      </c>
      <c r="AQ82" s="203" t="s">
        <v>489</v>
      </c>
      <c r="AR82" s="6" t="s">
        <v>100</v>
      </c>
      <c r="AS82" s="108" t="s">
        <v>53</v>
      </c>
      <c r="AT82" s="105" t="str">
        <f t="shared" si="14"/>
        <v>CG</v>
      </c>
      <c r="AU82" s="109" t="str">
        <f t="shared" si="12"/>
        <v>A</v>
      </c>
      <c r="AV82" s="110" t="s">
        <v>359</v>
      </c>
      <c r="AW82" s="111" t="e">
        <f t="shared" si="13"/>
        <v>#DIV/0!</v>
      </c>
    </row>
    <row r="83" spans="1:49" ht="124.5" customHeight="1" thickBot="1" x14ac:dyDescent="0.4">
      <c r="A83" s="120">
        <v>82</v>
      </c>
      <c r="B83" s="2" t="s">
        <v>490</v>
      </c>
      <c r="C83" s="2" t="s">
        <v>52</v>
      </c>
      <c r="D83" s="2" t="s">
        <v>293</v>
      </c>
      <c r="E83" s="2" t="s">
        <v>492</v>
      </c>
      <c r="F83" s="7">
        <v>43289</v>
      </c>
      <c r="G83" s="7">
        <v>43306</v>
      </c>
      <c r="H83" s="27">
        <v>0</v>
      </c>
      <c r="I83" s="28">
        <v>0</v>
      </c>
      <c r="J83" s="29">
        <v>0</v>
      </c>
      <c r="K83" s="30">
        <v>0</v>
      </c>
      <c r="L83" s="126">
        <v>33</v>
      </c>
      <c r="M83" s="130">
        <v>8</v>
      </c>
      <c r="N83" s="17">
        <v>0</v>
      </c>
      <c r="O83" s="18">
        <v>0</v>
      </c>
      <c r="P83" s="19">
        <v>0</v>
      </c>
      <c r="Q83" s="35">
        <v>0</v>
      </c>
      <c r="R83" s="74">
        <f t="shared" si="9"/>
        <v>33</v>
      </c>
      <c r="S83" s="75">
        <f t="shared" si="9"/>
        <v>8</v>
      </c>
      <c r="T83" s="8">
        <f t="shared" si="10"/>
        <v>0.24242424242424243</v>
      </c>
      <c r="U83" s="9">
        <f t="shared" si="11"/>
        <v>41</v>
      </c>
      <c r="V83" s="3"/>
      <c r="W83" s="2"/>
      <c r="X83" s="2"/>
      <c r="Y83" s="2"/>
      <c r="Z83" s="2">
        <v>5</v>
      </c>
      <c r="AA83" s="2">
        <v>1</v>
      </c>
      <c r="AB83" s="2"/>
      <c r="AC83" s="2"/>
      <c r="AD83" s="2"/>
      <c r="AE83" s="2"/>
      <c r="AF83" s="2" t="s">
        <v>148</v>
      </c>
      <c r="AG83" s="2" t="s">
        <v>493</v>
      </c>
      <c r="AH83" s="2"/>
      <c r="AI83" s="2"/>
      <c r="AJ83" s="212" t="s">
        <v>494</v>
      </c>
      <c r="AK83" s="2" t="s">
        <v>890</v>
      </c>
      <c r="AL83" s="2" t="s">
        <v>495</v>
      </c>
      <c r="AM83" s="47" t="s">
        <v>496</v>
      </c>
      <c r="AN83" s="4">
        <v>681939728</v>
      </c>
      <c r="AO83" s="2" t="s">
        <v>491</v>
      </c>
      <c r="AP83" s="33" t="s">
        <v>51</v>
      </c>
      <c r="AQ83" s="203" t="s">
        <v>385</v>
      </c>
      <c r="AR83" s="6" t="s">
        <v>52</v>
      </c>
      <c r="AS83" s="108" t="s">
        <v>53</v>
      </c>
      <c r="AT83" s="105" t="str">
        <f t="shared" si="14"/>
        <v>CRGUE</v>
      </c>
      <c r="AU83" s="109" t="str">
        <f t="shared" si="12"/>
        <v>B</v>
      </c>
      <c r="AV83" s="110"/>
      <c r="AW83" s="111"/>
    </row>
    <row r="84" spans="1:49" ht="80.25" customHeight="1" thickBot="1" x14ac:dyDescent="0.4">
      <c r="A84" s="120">
        <v>83</v>
      </c>
      <c r="B84" s="2" t="s">
        <v>497</v>
      </c>
      <c r="C84" s="3" t="s">
        <v>52</v>
      </c>
      <c r="D84" s="2" t="s">
        <v>178</v>
      </c>
      <c r="E84" s="2"/>
      <c r="F84" s="7">
        <v>43296</v>
      </c>
      <c r="G84" s="7">
        <v>43310</v>
      </c>
      <c r="H84" s="152">
        <v>0</v>
      </c>
      <c r="I84" s="139">
        <v>0</v>
      </c>
      <c r="J84" s="150">
        <v>35</v>
      </c>
      <c r="K84" s="143">
        <v>6</v>
      </c>
      <c r="L84" s="166">
        <v>0</v>
      </c>
      <c r="M84" s="136">
        <v>0</v>
      </c>
      <c r="N84" s="153">
        <v>0</v>
      </c>
      <c r="O84" s="147">
        <v>0</v>
      </c>
      <c r="P84" s="165">
        <v>0</v>
      </c>
      <c r="Q84" s="138">
        <v>0</v>
      </c>
      <c r="R84" s="74">
        <f t="shared" si="9"/>
        <v>35</v>
      </c>
      <c r="S84" s="75">
        <f t="shared" si="9"/>
        <v>6</v>
      </c>
      <c r="T84" s="8">
        <f t="shared" si="10"/>
        <v>0.17142857142857143</v>
      </c>
      <c r="U84" s="9">
        <f t="shared" si="11"/>
        <v>41</v>
      </c>
      <c r="V84" s="3"/>
      <c r="W84" s="2"/>
      <c r="X84" s="2"/>
      <c r="Y84" s="2">
        <v>-1</v>
      </c>
      <c r="Z84" s="2"/>
      <c r="AA84" s="2"/>
      <c r="AB84" s="2"/>
      <c r="AC84" s="2"/>
      <c r="AD84" s="2"/>
      <c r="AE84" s="2"/>
      <c r="AF84" s="2" t="s">
        <v>148</v>
      </c>
      <c r="AG84" s="2" t="s">
        <v>852</v>
      </c>
      <c r="AH84" s="2"/>
      <c r="AI84" s="2"/>
      <c r="AJ84" s="212" t="s">
        <v>499</v>
      </c>
      <c r="AK84" s="2" t="s">
        <v>889</v>
      </c>
      <c r="AL84" s="2" t="s">
        <v>500</v>
      </c>
      <c r="AM84" s="47" t="s">
        <v>501</v>
      </c>
      <c r="AN84" s="4">
        <v>635313553</v>
      </c>
      <c r="AO84" s="2" t="s">
        <v>498</v>
      </c>
      <c r="AP84" s="33" t="s">
        <v>51</v>
      </c>
      <c r="AQ84" s="203" t="s">
        <v>385</v>
      </c>
      <c r="AR84" s="6" t="s">
        <v>52</v>
      </c>
      <c r="AS84" s="108" t="s">
        <v>53</v>
      </c>
      <c r="AT84" s="105" t="str">
        <f t="shared" si="14"/>
        <v>CULO</v>
      </c>
      <c r="AU84" s="109" t="str">
        <f t="shared" si="12"/>
        <v>B</v>
      </c>
      <c r="AV84" s="110"/>
      <c r="AW84" s="111"/>
    </row>
    <row r="85" spans="1:49" ht="80.25" customHeight="1" thickBot="1" x14ac:dyDescent="0.4">
      <c r="A85" s="120">
        <v>84</v>
      </c>
      <c r="B85" s="2" t="s">
        <v>492</v>
      </c>
      <c r="C85" s="2" t="s">
        <v>52</v>
      </c>
      <c r="D85" s="2" t="s">
        <v>64</v>
      </c>
      <c r="E85" s="2"/>
      <c r="F85" s="7">
        <v>43290</v>
      </c>
      <c r="G85" s="7">
        <v>43303</v>
      </c>
      <c r="H85" s="128">
        <v>11</v>
      </c>
      <c r="I85" s="28">
        <v>5</v>
      </c>
      <c r="J85" s="124">
        <v>17</v>
      </c>
      <c r="K85" s="125">
        <v>5</v>
      </c>
      <c r="L85" s="31">
        <v>0</v>
      </c>
      <c r="M85" s="32">
        <v>0</v>
      </c>
      <c r="N85" s="17">
        <v>0</v>
      </c>
      <c r="O85" s="18">
        <v>0</v>
      </c>
      <c r="P85" s="19">
        <v>0</v>
      </c>
      <c r="Q85" s="35">
        <v>0</v>
      </c>
      <c r="R85" s="74">
        <f t="shared" si="9"/>
        <v>28</v>
      </c>
      <c r="S85" s="75">
        <f t="shared" si="9"/>
        <v>10</v>
      </c>
      <c r="T85" s="8">
        <f t="shared" si="10"/>
        <v>0.35714285714285715</v>
      </c>
      <c r="U85" s="9">
        <f t="shared" si="11"/>
        <v>38</v>
      </c>
      <c r="V85" s="3">
        <v>-3</v>
      </c>
      <c r="W85" s="2"/>
      <c r="X85" s="2">
        <v>-5</v>
      </c>
      <c r="Y85" s="2">
        <v>-2</v>
      </c>
      <c r="Z85" s="2"/>
      <c r="AA85" s="2"/>
      <c r="AB85" s="2"/>
      <c r="AC85" s="2"/>
      <c r="AD85" s="2"/>
      <c r="AE85" s="2"/>
      <c r="AF85" s="2" t="s">
        <v>65</v>
      </c>
      <c r="AG85" s="2"/>
      <c r="AH85" s="2"/>
      <c r="AI85" s="2"/>
      <c r="AJ85" s="33" t="s">
        <v>503</v>
      </c>
      <c r="AK85" s="6" t="s">
        <v>883</v>
      </c>
      <c r="AL85" s="2" t="s">
        <v>504</v>
      </c>
      <c r="AM85" s="48" t="s">
        <v>505</v>
      </c>
      <c r="AN85" s="4">
        <v>645560036</v>
      </c>
      <c r="AO85" s="2" t="s">
        <v>502</v>
      </c>
      <c r="AP85" s="33" t="s">
        <v>51</v>
      </c>
      <c r="AQ85" s="203" t="s">
        <v>506</v>
      </c>
      <c r="AR85" s="6" t="s">
        <v>52</v>
      </c>
      <c r="AS85" s="108" t="s">
        <v>53</v>
      </c>
      <c r="AT85" s="105" t="str">
        <f t="shared" si="14"/>
        <v>CG</v>
      </c>
      <c r="AU85" s="109" t="str">
        <f t="shared" si="12"/>
        <v>B</v>
      </c>
      <c r="AV85" s="110"/>
      <c r="AW85" s="111"/>
    </row>
    <row r="86" spans="1:49" s="12" customFormat="1" ht="80.25" customHeight="1" thickBot="1" x14ac:dyDescent="0.4">
      <c r="A86" s="169">
        <v>85</v>
      </c>
      <c r="B86" s="170" t="s">
        <v>380</v>
      </c>
      <c r="C86" s="170" t="s">
        <v>52</v>
      </c>
      <c r="D86" s="170" t="s">
        <v>362</v>
      </c>
      <c r="E86" s="170" t="s">
        <v>383</v>
      </c>
      <c r="F86" s="173">
        <v>43293</v>
      </c>
      <c r="G86" s="173">
        <v>43307</v>
      </c>
      <c r="H86" s="174">
        <v>0</v>
      </c>
      <c r="I86" s="174">
        <v>0</v>
      </c>
      <c r="J86" s="174">
        <v>0</v>
      </c>
      <c r="K86" s="174">
        <v>0</v>
      </c>
      <c r="L86" s="174">
        <v>0</v>
      </c>
      <c r="M86" s="174">
        <v>0</v>
      </c>
      <c r="N86" s="174">
        <v>0</v>
      </c>
      <c r="O86" s="174">
        <v>0</v>
      </c>
      <c r="P86" s="174">
        <v>0</v>
      </c>
      <c r="Q86" s="175">
        <v>0</v>
      </c>
      <c r="R86" s="176">
        <f t="shared" si="9"/>
        <v>0</v>
      </c>
      <c r="S86" s="176">
        <f t="shared" si="9"/>
        <v>0</v>
      </c>
      <c r="T86" s="177" t="e">
        <f t="shared" si="10"/>
        <v>#DIV/0!</v>
      </c>
      <c r="U86" s="176">
        <f t="shared" si="11"/>
        <v>0</v>
      </c>
      <c r="V86" s="178"/>
      <c r="W86" s="170"/>
      <c r="X86" s="170"/>
      <c r="Y86" s="170"/>
      <c r="Z86" s="170"/>
      <c r="AA86" s="170"/>
      <c r="AB86" s="170"/>
      <c r="AC86" s="170"/>
      <c r="AD86" s="170"/>
      <c r="AE86" s="170"/>
      <c r="AF86" s="170" t="s">
        <v>148</v>
      </c>
      <c r="AG86" s="170" t="s">
        <v>384</v>
      </c>
      <c r="AH86" s="170"/>
      <c r="AI86" s="170"/>
      <c r="AJ86" s="214" t="s">
        <v>507</v>
      </c>
      <c r="AK86" s="170"/>
      <c r="AL86" s="170" t="s">
        <v>508</v>
      </c>
      <c r="AM86" s="179" t="s">
        <v>604</v>
      </c>
      <c r="AN86" s="171">
        <v>609632944</v>
      </c>
      <c r="AO86" s="170" t="s">
        <v>381</v>
      </c>
      <c r="AP86" s="180" t="s">
        <v>51</v>
      </c>
      <c r="AQ86" s="205"/>
      <c r="AR86" s="172" t="s">
        <v>52</v>
      </c>
      <c r="AS86" s="181" t="s">
        <v>53</v>
      </c>
      <c r="AT86" s="183" t="b">
        <f t="shared" si="14"/>
        <v>0</v>
      </c>
      <c r="AU86" s="182" t="str">
        <f t="shared" si="12"/>
        <v>A</v>
      </c>
      <c r="AV86" s="184"/>
      <c r="AW86" s="185"/>
    </row>
    <row r="87" spans="1:49" ht="56.15" customHeight="1" thickBot="1" x14ac:dyDescent="0.4">
      <c r="A87" s="186">
        <v>86</v>
      </c>
      <c r="B87" s="2" t="s">
        <v>509</v>
      </c>
      <c r="C87" s="2" t="s">
        <v>52</v>
      </c>
      <c r="D87" s="14" t="s">
        <v>360</v>
      </c>
      <c r="E87" s="2"/>
      <c r="F87" s="7">
        <v>43286</v>
      </c>
      <c r="G87" s="7">
        <v>43296</v>
      </c>
      <c r="H87" s="27">
        <v>0</v>
      </c>
      <c r="I87" s="28">
        <v>0</v>
      </c>
      <c r="J87" s="29">
        <v>0</v>
      </c>
      <c r="K87" s="30">
        <v>0</v>
      </c>
      <c r="L87" s="31">
        <v>0</v>
      </c>
      <c r="M87" s="32">
        <v>0</v>
      </c>
      <c r="N87" s="17">
        <v>8</v>
      </c>
      <c r="O87" s="18">
        <v>2</v>
      </c>
      <c r="P87" s="19">
        <v>0</v>
      </c>
      <c r="Q87" s="35">
        <v>0</v>
      </c>
      <c r="R87" s="74">
        <f t="shared" si="9"/>
        <v>8</v>
      </c>
      <c r="S87" s="75">
        <f t="shared" si="9"/>
        <v>2</v>
      </c>
      <c r="T87" s="8">
        <f t="shared" si="10"/>
        <v>0.25</v>
      </c>
      <c r="U87" s="9">
        <f t="shared" si="11"/>
        <v>10</v>
      </c>
      <c r="V87" s="3"/>
      <c r="W87" s="2"/>
      <c r="X87" s="2"/>
      <c r="Y87" s="2"/>
      <c r="Z87" s="2"/>
      <c r="AA87" s="2"/>
      <c r="AB87" s="2"/>
      <c r="AC87" s="2"/>
      <c r="AD87" s="2"/>
      <c r="AE87" s="2"/>
      <c r="AF87" s="2" t="s">
        <v>148</v>
      </c>
      <c r="AG87" s="2"/>
      <c r="AH87" s="2" t="s">
        <v>301</v>
      </c>
      <c r="AI87" s="2"/>
      <c r="AJ87" s="212" t="s">
        <v>511</v>
      </c>
      <c r="AK87" s="2" t="s">
        <v>884</v>
      </c>
      <c r="AL87" s="2" t="s">
        <v>512</v>
      </c>
      <c r="AM87" s="48" t="s">
        <v>513</v>
      </c>
      <c r="AN87" s="4">
        <v>683100535</v>
      </c>
      <c r="AO87" s="2" t="s">
        <v>510</v>
      </c>
      <c r="AP87" s="33" t="s">
        <v>51</v>
      </c>
      <c r="AQ87" s="203"/>
      <c r="AR87" s="6"/>
      <c r="AS87" s="108" t="s">
        <v>53</v>
      </c>
      <c r="AT87" s="105" t="str">
        <f t="shared" si="14"/>
        <v>CUA</v>
      </c>
      <c r="AU87" s="109" t="str">
        <f t="shared" si="12"/>
        <v>A</v>
      </c>
      <c r="AV87" s="110"/>
      <c r="AW87" s="111"/>
    </row>
    <row r="88" spans="1:49" ht="56.15" customHeight="1" thickBot="1" x14ac:dyDescent="0.4">
      <c r="A88" s="186">
        <v>87</v>
      </c>
      <c r="B88" s="2" t="s">
        <v>268</v>
      </c>
      <c r="C88" s="2" t="s">
        <v>52</v>
      </c>
      <c r="D88" s="2" t="s">
        <v>64</v>
      </c>
      <c r="E88" s="2"/>
      <c r="F88" s="7">
        <v>43289</v>
      </c>
      <c r="G88" s="7">
        <v>43303</v>
      </c>
      <c r="H88" s="123">
        <v>2</v>
      </c>
      <c r="I88" s="139">
        <v>1</v>
      </c>
      <c r="J88" s="145">
        <v>12</v>
      </c>
      <c r="K88" s="143">
        <v>3</v>
      </c>
      <c r="L88" s="31">
        <v>0</v>
      </c>
      <c r="M88" s="32">
        <v>0</v>
      </c>
      <c r="N88" s="17">
        <v>0</v>
      </c>
      <c r="O88" s="18">
        <v>0</v>
      </c>
      <c r="P88" s="19">
        <v>0</v>
      </c>
      <c r="Q88" s="35">
        <v>0</v>
      </c>
      <c r="R88" s="74">
        <f t="shared" si="9"/>
        <v>14</v>
      </c>
      <c r="S88" s="75">
        <f t="shared" si="9"/>
        <v>4</v>
      </c>
      <c r="T88" s="8">
        <f t="shared" si="10"/>
        <v>0.2857142857142857</v>
      </c>
      <c r="U88" s="9">
        <f t="shared" si="11"/>
        <v>18</v>
      </c>
      <c r="V88" s="3">
        <v>1</v>
      </c>
      <c r="W88" s="2"/>
      <c r="X88" s="2">
        <v>-2</v>
      </c>
      <c r="Y88" s="2">
        <v>-1</v>
      </c>
      <c r="Z88" s="2"/>
      <c r="AA88" s="2"/>
      <c r="AB88" s="2"/>
      <c r="AC88" s="2"/>
      <c r="AD88" s="2"/>
      <c r="AE88" s="2"/>
      <c r="AF88" s="2" t="s">
        <v>148</v>
      </c>
      <c r="AG88" s="2" t="s">
        <v>240</v>
      </c>
      <c r="AH88" s="2"/>
      <c r="AI88" s="2"/>
      <c r="AJ88" s="33" t="s">
        <v>902</v>
      </c>
      <c r="AK88" s="6" t="s">
        <v>892</v>
      </c>
      <c r="AL88" s="2" t="s">
        <v>515</v>
      </c>
      <c r="AM88" s="48" t="s">
        <v>516</v>
      </c>
      <c r="AN88" s="4">
        <v>781835626</v>
      </c>
      <c r="AO88" s="2" t="s">
        <v>514</v>
      </c>
      <c r="AP88" s="33" t="s">
        <v>51</v>
      </c>
      <c r="AQ88" s="203" t="s">
        <v>244</v>
      </c>
      <c r="AR88" s="6" t="s">
        <v>52</v>
      </c>
      <c r="AS88" s="108" t="s">
        <v>53</v>
      </c>
      <c r="AT88" s="105" t="str">
        <f t="shared" si="14"/>
        <v>CG</v>
      </c>
      <c r="AU88" s="109" t="str">
        <f t="shared" si="12"/>
        <v>A</v>
      </c>
      <c r="AV88" s="110"/>
      <c r="AW88" s="111"/>
    </row>
    <row r="89" spans="1:49" ht="56.15" customHeight="1" thickBot="1" x14ac:dyDescent="0.4">
      <c r="A89" s="154">
        <v>88</v>
      </c>
      <c r="B89" s="2" t="s">
        <v>497</v>
      </c>
      <c r="C89" s="2" t="s">
        <v>52</v>
      </c>
      <c r="D89" s="2" t="s">
        <v>205</v>
      </c>
      <c r="E89" s="2"/>
      <c r="F89" s="7">
        <v>43289</v>
      </c>
      <c r="G89" s="7">
        <v>43309</v>
      </c>
      <c r="H89" s="152">
        <v>0</v>
      </c>
      <c r="I89" s="139">
        <v>0</v>
      </c>
      <c r="J89" s="150">
        <v>0</v>
      </c>
      <c r="K89" s="134">
        <v>0</v>
      </c>
      <c r="L89" s="132">
        <v>7</v>
      </c>
      <c r="M89" s="32">
        <v>4</v>
      </c>
      <c r="N89" s="17">
        <v>0</v>
      </c>
      <c r="O89" s="18">
        <v>0</v>
      </c>
      <c r="P89" s="19">
        <v>0</v>
      </c>
      <c r="Q89" s="35">
        <v>0</v>
      </c>
      <c r="R89" s="74">
        <f t="shared" si="9"/>
        <v>7</v>
      </c>
      <c r="S89" s="75">
        <f t="shared" si="9"/>
        <v>4</v>
      </c>
      <c r="T89" s="8">
        <f t="shared" si="10"/>
        <v>0.5714285714285714</v>
      </c>
      <c r="U89" s="9">
        <f t="shared" si="11"/>
        <v>11</v>
      </c>
      <c r="V89" s="3"/>
      <c r="W89" s="2"/>
      <c r="X89" s="2"/>
      <c r="Y89" s="2"/>
      <c r="Z89" s="2">
        <v>-2</v>
      </c>
      <c r="AA89" s="2"/>
      <c r="AB89" s="2"/>
      <c r="AC89" s="2"/>
      <c r="AD89" s="2"/>
      <c r="AE89" s="2"/>
      <c r="AF89" s="2" t="s">
        <v>148</v>
      </c>
      <c r="AG89" s="2" t="s">
        <v>517</v>
      </c>
      <c r="AH89" s="2"/>
      <c r="AI89" s="2"/>
      <c r="AJ89" s="212" t="s">
        <v>518</v>
      </c>
      <c r="AK89" s="2" t="s">
        <v>883</v>
      </c>
      <c r="AL89" s="2" t="s">
        <v>519</v>
      </c>
      <c r="AM89" s="47" t="s">
        <v>520</v>
      </c>
      <c r="AN89" s="4">
        <v>750474150</v>
      </c>
      <c r="AO89" s="2" t="s">
        <v>498</v>
      </c>
      <c r="AP89" s="33" t="s">
        <v>51</v>
      </c>
      <c r="AQ89" s="203" t="s">
        <v>521</v>
      </c>
      <c r="AR89" s="6" t="s">
        <v>43</v>
      </c>
      <c r="AS89" s="108" t="s">
        <v>53</v>
      </c>
      <c r="AT89" s="105" t="str">
        <f t="shared" si="14"/>
        <v>CUE</v>
      </c>
      <c r="AU89" s="109" t="str">
        <f t="shared" si="12"/>
        <v>A</v>
      </c>
      <c r="AV89" s="110"/>
      <c r="AW89" s="111"/>
    </row>
    <row r="90" spans="1:49" ht="56.15" customHeight="1" thickBot="1" x14ac:dyDescent="0.4">
      <c r="A90" s="186">
        <v>89</v>
      </c>
      <c r="B90" s="2" t="s">
        <v>374</v>
      </c>
      <c r="C90" s="2" t="s">
        <v>52</v>
      </c>
      <c r="D90" s="14" t="s">
        <v>360</v>
      </c>
      <c r="E90" s="2"/>
      <c r="F90" s="7">
        <v>43288</v>
      </c>
      <c r="G90" s="7">
        <v>43317</v>
      </c>
      <c r="H90" s="27">
        <v>0</v>
      </c>
      <c r="I90" s="28">
        <v>0</v>
      </c>
      <c r="J90" s="29">
        <v>0</v>
      </c>
      <c r="K90" s="30">
        <v>0</v>
      </c>
      <c r="L90" s="31">
        <v>0</v>
      </c>
      <c r="M90" s="32">
        <v>0</v>
      </c>
      <c r="N90" s="149">
        <v>5</v>
      </c>
      <c r="O90" s="147">
        <v>2</v>
      </c>
      <c r="P90" s="19">
        <v>0</v>
      </c>
      <c r="Q90" s="35">
        <v>0</v>
      </c>
      <c r="R90" s="74">
        <f t="shared" si="9"/>
        <v>5</v>
      </c>
      <c r="S90" s="75">
        <f t="shared" si="9"/>
        <v>2</v>
      </c>
      <c r="T90" s="8">
        <f t="shared" si="10"/>
        <v>0.4</v>
      </c>
      <c r="U90" s="9">
        <f t="shared" si="11"/>
        <v>7</v>
      </c>
      <c r="V90" s="3"/>
      <c r="W90" s="2"/>
      <c r="X90" s="2"/>
      <c r="Y90" s="2"/>
      <c r="Z90" s="2"/>
      <c r="AA90" s="2"/>
      <c r="AB90" s="2">
        <v>-1</v>
      </c>
      <c r="AC90" s="2"/>
      <c r="AD90" s="2"/>
      <c r="AE90" s="2"/>
      <c r="AF90" s="2" t="s">
        <v>148</v>
      </c>
      <c r="AG90" s="2"/>
      <c r="AH90" s="2" t="s">
        <v>522</v>
      </c>
      <c r="AI90" s="2"/>
      <c r="AJ90" s="212" t="s">
        <v>86</v>
      </c>
      <c r="AK90" s="2" t="s">
        <v>884</v>
      </c>
      <c r="AL90" s="2" t="s">
        <v>523</v>
      </c>
      <c r="AM90" s="48" t="s">
        <v>591</v>
      </c>
      <c r="AN90" s="4">
        <v>622719070</v>
      </c>
      <c r="AO90" s="2" t="s">
        <v>375</v>
      </c>
      <c r="AP90" s="33" t="s">
        <v>87</v>
      </c>
      <c r="AQ90" s="203"/>
      <c r="AR90" s="6"/>
      <c r="AS90" s="108" t="s">
        <v>53</v>
      </c>
      <c r="AT90" s="105" t="str">
        <f t="shared" si="14"/>
        <v>CUA</v>
      </c>
      <c r="AU90" s="109" t="str">
        <f t="shared" si="12"/>
        <v>A</v>
      </c>
      <c r="AV90" s="110"/>
      <c r="AW90" s="111"/>
    </row>
    <row r="91" spans="1:49" ht="56.15" customHeight="1" thickBot="1" x14ac:dyDescent="0.4">
      <c r="A91" s="186">
        <v>90</v>
      </c>
      <c r="B91" s="2" t="s">
        <v>524</v>
      </c>
      <c r="C91" s="2" t="s">
        <v>52</v>
      </c>
      <c r="D91" s="2" t="s">
        <v>64</v>
      </c>
      <c r="E91" s="2"/>
      <c r="F91" s="7">
        <v>43301</v>
      </c>
      <c r="G91" s="7">
        <v>43308</v>
      </c>
      <c r="H91" s="152">
        <v>5</v>
      </c>
      <c r="I91" s="28">
        <v>0</v>
      </c>
      <c r="J91" s="129">
        <v>14</v>
      </c>
      <c r="K91" s="131">
        <v>2</v>
      </c>
      <c r="L91" s="31">
        <v>0</v>
      </c>
      <c r="M91" s="32">
        <v>0</v>
      </c>
      <c r="N91" s="17">
        <v>0</v>
      </c>
      <c r="O91" s="18">
        <v>0</v>
      </c>
      <c r="P91" s="19">
        <v>0</v>
      </c>
      <c r="Q91" s="35">
        <v>0</v>
      </c>
      <c r="R91" s="74">
        <f t="shared" si="9"/>
        <v>19</v>
      </c>
      <c r="S91" s="75">
        <f t="shared" si="9"/>
        <v>2</v>
      </c>
      <c r="T91" s="8">
        <f t="shared" si="10"/>
        <v>0.10526315789473684</v>
      </c>
      <c r="U91" s="9">
        <f t="shared" si="11"/>
        <v>21</v>
      </c>
      <c r="V91" s="3"/>
      <c r="W91" s="2"/>
      <c r="X91" s="2">
        <v>2</v>
      </c>
      <c r="Y91" s="2">
        <v>1</v>
      </c>
      <c r="Z91" s="2"/>
      <c r="AA91" s="2"/>
      <c r="AB91" s="2"/>
      <c r="AC91" s="2"/>
      <c r="AD91" s="2"/>
      <c r="AE91" s="2"/>
      <c r="AF91" s="2" t="s">
        <v>148</v>
      </c>
      <c r="AG91" s="2" t="s">
        <v>240</v>
      </c>
      <c r="AH91" s="2"/>
      <c r="AI91" s="2"/>
      <c r="AJ91" s="33" t="s">
        <v>902</v>
      </c>
      <c r="AK91" s="6" t="s">
        <v>892</v>
      </c>
      <c r="AL91" s="2" t="s">
        <v>879</v>
      </c>
      <c r="AM91" s="48"/>
      <c r="AN91" s="4">
        <v>658109468</v>
      </c>
      <c r="AO91" s="2" t="s">
        <v>525</v>
      </c>
      <c r="AP91" s="33" t="s">
        <v>51</v>
      </c>
      <c r="AQ91" s="203" t="s">
        <v>244</v>
      </c>
      <c r="AR91" s="6" t="s">
        <v>52</v>
      </c>
      <c r="AS91" s="108" t="s">
        <v>53</v>
      </c>
      <c r="AT91" s="105" t="str">
        <f t="shared" si="14"/>
        <v>CG</v>
      </c>
      <c r="AU91" s="109" t="str">
        <f t="shared" si="12"/>
        <v>A</v>
      </c>
      <c r="AV91" s="110"/>
      <c r="AW91" s="111"/>
    </row>
    <row r="92" spans="1:49" ht="56.15" customHeight="1" thickBot="1" x14ac:dyDescent="0.4">
      <c r="A92" s="154">
        <v>91</v>
      </c>
      <c r="B92" s="2" t="s">
        <v>526</v>
      </c>
      <c r="C92" s="2" t="s">
        <v>390</v>
      </c>
      <c r="D92" s="2" t="s">
        <v>64</v>
      </c>
      <c r="E92" s="2"/>
      <c r="F92" s="7">
        <v>43302</v>
      </c>
      <c r="G92" s="7">
        <v>43310</v>
      </c>
      <c r="H92" s="123">
        <v>7</v>
      </c>
      <c r="I92" s="188">
        <v>1</v>
      </c>
      <c r="J92" s="124">
        <v>7</v>
      </c>
      <c r="K92" s="134">
        <v>2</v>
      </c>
      <c r="L92" s="166">
        <v>0</v>
      </c>
      <c r="M92" s="136">
        <v>0</v>
      </c>
      <c r="N92" s="153">
        <v>0</v>
      </c>
      <c r="O92" s="147">
        <v>0</v>
      </c>
      <c r="P92" s="165">
        <v>0</v>
      </c>
      <c r="Q92" s="140">
        <v>0</v>
      </c>
      <c r="R92" s="74">
        <f t="shared" si="9"/>
        <v>14</v>
      </c>
      <c r="S92" s="75">
        <f t="shared" si="9"/>
        <v>3</v>
      </c>
      <c r="T92" s="8">
        <f t="shared" si="10"/>
        <v>0.21428571428571427</v>
      </c>
      <c r="U92" s="9">
        <f t="shared" si="11"/>
        <v>17</v>
      </c>
      <c r="V92" s="3">
        <v>1</v>
      </c>
      <c r="W92" s="2">
        <v>-1</v>
      </c>
      <c r="X92" s="2">
        <v>-3</v>
      </c>
      <c r="Y92" s="2"/>
      <c r="Z92" s="2"/>
      <c r="AA92" s="2"/>
      <c r="AB92" s="2"/>
      <c r="AC92" s="2"/>
      <c r="AD92" s="2"/>
      <c r="AE92" s="2">
        <v>-1</v>
      </c>
      <c r="AF92" s="2" t="s">
        <v>148</v>
      </c>
      <c r="AG92" s="2" t="s">
        <v>98</v>
      </c>
      <c r="AH92" s="2"/>
      <c r="AI92" s="2"/>
      <c r="AJ92" s="212" t="s">
        <v>528</v>
      </c>
      <c r="AK92" s="2" t="s">
        <v>889</v>
      </c>
      <c r="AL92" s="2" t="s">
        <v>529</v>
      </c>
      <c r="AM92" s="48" t="s">
        <v>530</v>
      </c>
      <c r="AN92" s="4">
        <v>607425156</v>
      </c>
      <c r="AO92" s="2" t="s">
        <v>527</v>
      </c>
      <c r="AP92" s="33" t="s">
        <v>51</v>
      </c>
      <c r="AQ92" s="203" t="s">
        <v>99</v>
      </c>
      <c r="AR92" s="6" t="s">
        <v>100</v>
      </c>
      <c r="AS92" s="108" t="s">
        <v>53</v>
      </c>
      <c r="AT92" s="105" t="str">
        <f t="shared" si="14"/>
        <v>CG</v>
      </c>
      <c r="AU92" s="109" t="str">
        <f t="shared" si="12"/>
        <v>A</v>
      </c>
      <c r="AV92" s="110"/>
      <c r="AW92" s="111"/>
    </row>
    <row r="93" spans="1:49" ht="83.25" customHeight="1" thickBot="1" x14ac:dyDescent="0.4">
      <c r="A93" s="154">
        <v>92</v>
      </c>
      <c r="B93" s="2" t="s">
        <v>526</v>
      </c>
      <c r="C93" s="2" t="s">
        <v>390</v>
      </c>
      <c r="D93" s="2" t="s">
        <v>205</v>
      </c>
      <c r="E93" s="2"/>
      <c r="F93" s="7">
        <v>43297</v>
      </c>
      <c r="G93" s="7">
        <v>43310</v>
      </c>
      <c r="H93" s="27">
        <v>0</v>
      </c>
      <c r="I93" s="28">
        <v>0</v>
      </c>
      <c r="J93" s="29">
        <v>0</v>
      </c>
      <c r="K93" s="30">
        <v>0</v>
      </c>
      <c r="L93" s="135">
        <v>14</v>
      </c>
      <c r="M93" s="32">
        <v>3</v>
      </c>
      <c r="N93" s="17">
        <v>0</v>
      </c>
      <c r="O93" s="18">
        <v>0</v>
      </c>
      <c r="P93" s="19">
        <v>0</v>
      </c>
      <c r="Q93" s="127">
        <v>2</v>
      </c>
      <c r="R93" s="74">
        <f t="shared" si="9"/>
        <v>14</v>
      </c>
      <c r="S93" s="75">
        <f t="shared" si="9"/>
        <v>5</v>
      </c>
      <c r="T93" s="8">
        <f t="shared" si="10"/>
        <v>0.35714285714285715</v>
      </c>
      <c r="U93" s="9">
        <f t="shared" si="11"/>
        <v>19</v>
      </c>
      <c r="V93" s="3"/>
      <c r="W93" s="2"/>
      <c r="X93" s="2"/>
      <c r="Y93" s="2"/>
      <c r="Z93" s="2">
        <v>-2</v>
      </c>
      <c r="AA93" s="2"/>
      <c r="AB93" s="2"/>
      <c r="AC93" s="2"/>
      <c r="AD93" s="2"/>
      <c r="AE93" s="2">
        <v>2</v>
      </c>
      <c r="AF93" s="2" t="s">
        <v>148</v>
      </c>
      <c r="AG93" s="2" t="s">
        <v>98</v>
      </c>
      <c r="AH93" s="2"/>
      <c r="AI93" s="2"/>
      <c r="AJ93" s="212" t="s">
        <v>910</v>
      </c>
      <c r="AK93" s="2" t="s">
        <v>885</v>
      </c>
      <c r="AL93" s="2" t="s">
        <v>531</v>
      </c>
      <c r="AM93" s="48" t="s">
        <v>602</v>
      </c>
      <c r="AN93" s="4">
        <v>647575159</v>
      </c>
      <c r="AO93" s="2" t="s">
        <v>527</v>
      </c>
      <c r="AP93" s="33" t="s">
        <v>51</v>
      </c>
      <c r="AQ93" s="203" t="s">
        <v>99</v>
      </c>
      <c r="AR93" s="6" t="s">
        <v>100</v>
      </c>
      <c r="AS93" s="108" t="s">
        <v>53</v>
      </c>
      <c r="AT93" s="105" t="str">
        <f t="shared" si="14"/>
        <v>CUE</v>
      </c>
      <c r="AU93" s="109" t="str">
        <f t="shared" si="12"/>
        <v>A</v>
      </c>
      <c r="AV93" s="110"/>
      <c r="AW93" s="111"/>
    </row>
    <row r="94" spans="1:49" ht="83.25" customHeight="1" thickBot="1" x14ac:dyDescent="0.4">
      <c r="A94" s="186">
        <v>93</v>
      </c>
      <c r="B94" s="2" t="s">
        <v>532</v>
      </c>
      <c r="C94" s="2" t="s">
        <v>43</v>
      </c>
      <c r="D94" s="2" t="s">
        <v>351</v>
      </c>
      <c r="E94" s="2" t="s">
        <v>535</v>
      </c>
      <c r="F94" s="7">
        <v>43293</v>
      </c>
      <c r="G94" s="7">
        <v>43307</v>
      </c>
      <c r="H94" s="123">
        <v>7</v>
      </c>
      <c r="I94" s="168">
        <v>1</v>
      </c>
      <c r="J94" s="129">
        <v>27</v>
      </c>
      <c r="K94" s="131">
        <v>4</v>
      </c>
      <c r="L94" s="126">
        <v>22</v>
      </c>
      <c r="M94" s="148">
        <v>3</v>
      </c>
      <c r="N94" s="153">
        <v>0</v>
      </c>
      <c r="O94" s="147">
        <v>0</v>
      </c>
      <c r="P94" s="165">
        <v>0</v>
      </c>
      <c r="Q94" s="138">
        <v>0</v>
      </c>
      <c r="R94" s="74">
        <f t="shared" si="9"/>
        <v>56</v>
      </c>
      <c r="S94" s="75">
        <f t="shared" si="9"/>
        <v>8</v>
      </c>
      <c r="T94" s="8">
        <f t="shared" si="10"/>
        <v>0.14285714285714285</v>
      </c>
      <c r="U94" s="9">
        <f t="shared" si="11"/>
        <v>64</v>
      </c>
      <c r="V94" s="3">
        <v>2</v>
      </c>
      <c r="W94" s="2">
        <v>-1</v>
      </c>
      <c r="X94" s="2">
        <v>1</v>
      </c>
      <c r="Y94" s="2">
        <v>1</v>
      </c>
      <c r="Z94" s="2">
        <v>2</v>
      </c>
      <c r="AA94" s="2">
        <v>-2</v>
      </c>
      <c r="AB94" s="2"/>
      <c r="AC94" s="2"/>
      <c r="AD94" s="2"/>
      <c r="AE94" s="2"/>
      <c r="AF94" s="2" t="s">
        <v>65</v>
      </c>
      <c r="AG94" s="2" t="s">
        <v>384</v>
      </c>
      <c r="AH94" s="2"/>
      <c r="AI94" s="2"/>
      <c r="AJ94" s="212" t="s">
        <v>536</v>
      </c>
      <c r="AK94" s="2" t="s">
        <v>885</v>
      </c>
      <c r="AL94" s="2" t="s">
        <v>537</v>
      </c>
      <c r="AM94" s="48" t="s">
        <v>538</v>
      </c>
      <c r="AN94" s="4">
        <v>633290155</v>
      </c>
      <c r="AO94" s="2" t="s">
        <v>534</v>
      </c>
      <c r="AP94" s="33" t="s">
        <v>51</v>
      </c>
      <c r="AQ94" s="203" t="s">
        <v>385</v>
      </c>
      <c r="AR94" s="6" t="s">
        <v>52</v>
      </c>
      <c r="AS94" s="108" t="s">
        <v>53</v>
      </c>
      <c r="AT94" s="105" t="str">
        <f t="shared" si="14"/>
        <v>CGG</v>
      </c>
      <c r="AU94" s="109" t="str">
        <f t="shared" si="12"/>
        <v>C</v>
      </c>
      <c r="AV94" s="110"/>
      <c r="AW94" s="111"/>
    </row>
    <row r="95" spans="1:49" ht="83.25" customHeight="1" thickBot="1" x14ac:dyDescent="0.4">
      <c r="A95" s="154">
        <v>94</v>
      </c>
      <c r="B95" s="2" t="s">
        <v>533</v>
      </c>
      <c r="C95" s="2" t="s">
        <v>43</v>
      </c>
      <c r="D95" s="2" t="s">
        <v>351</v>
      </c>
      <c r="E95" s="2" t="s">
        <v>540</v>
      </c>
      <c r="F95" s="7">
        <v>43290</v>
      </c>
      <c r="G95" s="7">
        <v>43308</v>
      </c>
      <c r="H95" s="142">
        <v>4</v>
      </c>
      <c r="I95" s="139">
        <v>2</v>
      </c>
      <c r="J95" s="150">
        <v>22</v>
      </c>
      <c r="K95" s="143">
        <v>4</v>
      </c>
      <c r="L95" s="126">
        <v>28</v>
      </c>
      <c r="M95" s="130">
        <v>6</v>
      </c>
      <c r="N95" s="149">
        <v>0</v>
      </c>
      <c r="O95" s="151">
        <v>0</v>
      </c>
      <c r="P95" s="19">
        <v>0</v>
      </c>
      <c r="Q95" s="144">
        <v>0</v>
      </c>
      <c r="R95" s="74">
        <f t="shared" si="9"/>
        <v>54</v>
      </c>
      <c r="S95" s="75">
        <f t="shared" si="9"/>
        <v>12</v>
      </c>
      <c r="T95" s="8">
        <f t="shared" si="10"/>
        <v>0.22222222222222221</v>
      </c>
      <c r="U95" s="9">
        <f t="shared" si="11"/>
        <v>66</v>
      </c>
      <c r="V95" s="3">
        <v>-5</v>
      </c>
      <c r="W95" s="2"/>
      <c r="X95" s="2"/>
      <c r="Y95" s="2">
        <v>-1</v>
      </c>
      <c r="Z95" s="2">
        <v>4</v>
      </c>
      <c r="AA95" s="2">
        <v>1</v>
      </c>
      <c r="AB95" s="2">
        <v>-4</v>
      </c>
      <c r="AC95" s="2">
        <v>-1</v>
      </c>
      <c r="AD95" s="2"/>
      <c r="AE95" s="2">
        <v>-2</v>
      </c>
      <c r="AF95" s="2" t="s">
        <v>148</v>
      </c>
      <c r="AG95" s="2" t="s">
        <v>541</v>
      </c>
      <c r="AH95" s="2"/>
      <c r="AI95" s="2"/>
      <c r="AJ95" s="212" t="s">
        <v>542</v>
      </c>
      <c r="AK95" s="2" t="s">
        <v>883</v>
      </c>
      <c r="AL95" s="2" t="s">
        <v>543</v>
      </c>
      <c r="AM95" s="47" t="s">
        <v>544</v>
      </c>
      <c r="AN95" s="4">
        <v>627251358</v>
      </c>
      <c r="AO95" s="2" t="s">
        <v>539</v>
      </c>
      <c r="AP95" s="33" t="s">
        <v>51</v>
      </c>
      <c r="AQ95" s="203" t="s">
        <v>373</v>
      </c>
      <c r="AR95" s="6" t="s">
        <v>52</v>
      </c>
      <c r="AS95" s="108" t="s">
        <v>53</v>
      </c>
      <c r="AT95" s="105" t="str">
        <f t="shared" si="14"/>
        <v>CGG</v>
      </c>
      <c r="AU95" s="109" t="str">
        <f t="shared" si="12"/>
        <v>C</v>
      </c>
      <c r="AV95" s="110"/>
      <c r="AW95" s="111"/>
    </row>
    <row r="96" spans="1:49" ht="83.25" customHeight="1" thickBot="1" x14ac:dyDescent="0.4">
      <c r="A96" s="154">
        <v>95</v>
      </c>
      <c r="B96" s="2" t="s">
        <v>545</v>
      </c>
      <c r="C96" s="2" t="s">
        <v>461</v>
      </c>
      <c r="D96" s="2" t="s">
        <v>64</v>
      </c>
      <c r="E96" s="2"/>
      <c r="F96" s="7">
        <v>43292</v>
      </c>
      <c r="G96" s="7">
        <v>43308</v>
      </c>
      <c r="H96" s="152">
        <v>0</v>
      </c>
      <c r="I96" s="139">
        <v>0</v>
      </c>
      <c r="J96" s="150">
        <v>28</v>
      </c>
      <c r="K96" s="134">
        <v>7</v>
      </c>
      <c r="L96" s="166">
        <v>26</v>
      </c>
      <c r="M96" s="136">
        <v>6</v>
      </c>
      <c r="N96" s="153">
        <v>0</v>
      </c>
      <c r="O96" s="147">
        <v>0</v>
      </c>
      <c r="P96" s="165">
        <v>0</v>
      </c>
      <c r="Q96" s="127">
        <v>4</v>
      </c>
      <c r="R96" s="74">
        <f t="shared" si="9"/>
        <v>54</v>
      </c>
      <c r="S96" s="75">
        <f t="shared" si="9"/>
        <v>17</v>
      </c>
      <c r="T96" s="8">
        <f t="shared" si="10"/>
        <v>0.31481481481481483</v>
      </c>
      <c r="U96" s="9">
        <f t="shared" si="11"/>
        <v>71</v>
      </c>
      <c r="V96" s="3"/>
      <c r="W96" s="2"/>
      <c r="X96" s="2"/>
      <c r="Y96" s="2"/>
      <c r="Z96" s="2"/>
      <c r="AA96" s="2"/>
      <c r="AB96" s="2"/>
      <c r="AC96" s="2"/>
      <c r="AD96" s="2"/>
      <c r="AE96" s="2">
        <v>2</v>
      </c>
      <c r="AF96" s="2" t="s">
        <v>148</v>
      </c>
      <c r="AG96" s="2" t="s">
        <v>547</v>
      </c>
      <c r="AH96" s="2"/>
      <c r="AI96" s="2"/>
      <c r="AJ96" s="212" t="s">
        <v>911</v>
      </c>
      <c r="AK96" s="2" t="s">
        <v>885</v>
      </c>
      <c r="AL96" s="2" t="s">
        <v>548</v>
      </c>
      <c r="AM96" s="48" t="s">
        <v>549</v>
      </c>
      <c r="AN96" s="4" t="s">
        <v>550</v>
      </c>
      <c r="AO96" s="2" t="s">
        <v>546</v>
      </c>
      <c r="AP96" s="33" t="s">
        <v>51</v>
      </c>
      <c r="AQ96" s="203" t="s">
        <v>551</v>
      </c>
      <c r="AR96" s="6" t="s">
        <v>119</v>
      </c>
      <c r="AS96" s="108" t="s">
        <v>53</v>
      </c>
      <c r="AT96" s="105" t="str">
        <f t="shared" si="14"/>
        <v>CG</v>
      </c>
      <c r="AU96" s="109" t="str">
        <f t="shared" si="12"/>
        <v>C</v>
      </c>
      <c r="AV96" s="110"/>
      <c r="AW96" s="111"/>
    </row>
    <row r="97" spans="1:49" ht="83.25" customHeight="1" thickBot="1" x14ac:dyDescent="0.4">
      <c r="A97" s="186">
        <v>96</v>
      </c>
      <c r="B97" s="2" t="s">
        <v>552</v>
      </c>
      <c r="C97" s="2" t="s">
        <v>43</v>
      </c>
      <c r="D97" s="2" t="s">
        <v>64</v>
      </c>
      <c r="E97" s="2"/>
      <c r="F97" s="7">
        <v>43296</v>
      </c>
      <c r="G97" s="7">
        <v>43309</v>
      </c>
      <c r="H97" s="123">
        <v>11</v>
      </c>
      <c r="I97" s="188">
        <v>2</v>
      </c>
      <c r="J97" s="129">
        <v>18</v>
      </c>
      <c r="K97" s="125">
        <v>3</v>
      </c>
      <c r="L97" s="31">
        <v>14</v>
      </c>
      <c r="M97" s="194">
        <v>2</v>
      </c>
      <c r="N97" s="17">
        <v>4</v>
      </c>
      <c r="O97" s="167">
        <v>1</v>
      </c>
      <c r="P97" s="19">
        <v>0</v>
      </c>
      <c r="Q97" s="140">
        <v>2</v>
      </c>
      <c r="R97" s="74">
        <f t="shared" si="9"/>
        <v>47</v>
      </c>
      <c r="S97" s="75">
        <f t="shared" si="9"/>
        <v>10</v>
      </c>
      <c r="T97" s="8">
        <f t="shared" si="10"/>
        <v>0.21276595744680851</v>
      </c>
      <c r="U97" s="9">
        <f t="shared" si="11"/>
        <v>57</v>
      </c>
      <c r="V97" s="3">
        <v>3</v>
      </c>
      <c r="W97" s="2">
        <v>-1</v>
      </c>
      <c r="X97" s="2">
        <v>4</v>
      </c>
      <c r="Y97" s="2">
        <v>-2</v>
      </c>
      <c r="Z97" s="2"/>
      <c r="AA97" s="2">
        <v>-1</v>
      </c>
      <c r="AB97" s="2"/>
      <c r="AC97" s="2">
        <v>1</v>
      </c>
      <c r="AD97" s="2"/>
      <c r="AE97" s="2">
        <v>-2</v>
      </c>
      <c r="AF97" s="2" t="s">
        <v>148</v>
      </c>
      <c r="AG97" s="2" t="s">
        <v>556</v>
      </c>
      <c r="AH97" s="2"/>
      <c r="AI97" s="2"/>
      <c r="AJ97" s="212" t="s">
        <v>1950</v>
      </c>
      <c r="AK97" s="2" t="s">
        <v>893</v>
      </c>
      <c r="AL97" s="2" t="s">
        <v>553</v>
      </c>
      <c r="AM97" s="48" t="s">
        <v>555</v>
      </c>
      <c r="AN97" s="4" t="s">
        <v>554</v>
      </c>
      <c r="AO97" s="2" t="s">
        <v>553</v>
      </c>
      <c r="AP97" s="33" t="s">
        <v>51</v>
      </c>
      <c r="AQ97" s="203" t="s">
        <v>252</v>
      </c>
      <c r="AR97" s="6" t="s">
        <v>43</v>
      </c>
      <c r="AS97" s="108" t="s">
        <v>53</v>
      </c>
      <c r="AT97" s="105" t="str">
        <f t="shared" si="14"/>
        <v>CG</v>
      </c>
      <c r="AU97" s="109" t="str">
        <f t="shared" si="12"/>
        <v>B</v>
      </c>
      <c r="AV97" s="110"/>
      <c r="AW97" s="111"/>
    </row>
    <row r="98" spans="1:49" ht="83.25" customHeight="1" thickBot="1" x14ac:dyDescent="0.4">
      <c r="A98" s="186">
        <v>97</v>
      </c>
      <c r="B98" s="2" t="s">
        <v>557</v>
      </c>
      <c r="C98" s="2" t="s">
        <v>43</v>
      </c>
      <c r="D98" s="2" t="s">
        <v>351</v>
      </c>
      <c r="E98" s="2" t="s">
        <v>559</v>
      </c>
      <c r="F98" s="7">
        <v>43295</v>
      </c>
      <c r="G98" s="7">
        <v>43309</v>
      </c>
      <c r="H98" s="152">
        <v>0</v>
      </c>
      <c r="I98" s="139">
        <v>0</v>
      </c>
      <c r="J98" s="129">
        <v>11</v>
      </c>
      <c r="K98" s="30">
        <v>4</v>
      </c>
      <c r="L98" s="132">
        <v>12</v>
      </c>
      <c r="M98" s="136">
        <v>4</v>
      </c>
      <c r="N98" s="17">
        <v>0</v>
      </c>
      <c r="O98" s="18">
        <v>0</v>
      </c>
      <c r="P98" s="19">
        <v>0</v>
      </c>
      <c r="Q98" s="144">
        <v>0</v>
      </c>
      <c r="R98" s="74">
        <f t="shared" si="9"/>
        <v>23</v>
      </c>
      <c r="S98" s="75">
        <f t="shared" si="9"/>
        <v>8</v>
      </c>
      <c r="T98" s="8">
        <f t="shared" si="10"/>
        <v>0.34782608695652173</v>
      </c>
      <c r="U98" s="9">
        <f t="shared" si="11"/>
        <v>31</v>
      </c>
      <c r="V98" s="3"/>
      <c r="W98" s="2"/>
      <c r="X98" s="2">
        <v>3</v>
      </c>
      <c r="Y98" s="2"/>
      <c r="Z98" s="2">
        <v>-4</v>
      </c>
      <c r="AA98" s="2"/>
      <c r="AB98" s="2"/>
      <c r="AC98" s="2"/>
      <c r="AD98" s="2"/>
      <c r="AE98" s="2">
        <v>-1</v>
      </c>
      <c r="AF98" s="2" t="s">
        <v>65</v>
      </c>
      <c r="AG98" s="2" t="s">
        <v>560</v>
      </c>
      <c r="AH98" s="2"/>
      <c r="AI98" s="2"/>
      <c r="AJ98" s="212" t="s">
        <v>561</v>
      </c>
      <c r="AK98" s="2" t="s">
        <v>883</v>
      </c>
      <c r="AL98" s="2" t="s">
        <v>562</v>
      </c>
      <c r="AM98" s="48" t="s">
        <v>601</v>
      </c>
      <c r="AN98" s="4" t="s">
        <v>563</v>
      </c>
      <c r="AO98" s="2" t="s">
        <v>558</v>
      </c>
      <c r="AP98" s="33" t="s">
        <v>51</v>
      </c>
      <c r="AQ98" s="203" t="s">
        <v>204</v>
      </c>
      <c r="AR98" s="6" t="s">
        <v>43</v>
      </c>
      <c r="AS98" s="108" t="s">
        <v>53</v>
      </c>
      <c r="AT98" s="105" t="str">
        <f t="shared" si="14"/>
        <v>CGG</v>
      </c>
      <c r="AU98" s="109" t="str">
        <f t="shared" ref="AU98:AU129" si="15">IF(R98&lt;=20,"A",IF(AND(R98&gt;=21,R98&lt;=50),"B",IF(AND(R98&gt;=51,R98&lt;=80),"C",IF(R98&gt;80,"D"))))</f>
        <v>B</v>
      </c>
      <c r="AV98" s="110"/>
      <c r="AW98" s="111"/>
    </row>
    <row r="99" spans="1:49" ht="83.25" customHeight="1" thickBot="1" x14ac:dyDescent="0.4">
      <c r="A99" s="186">
        <v>98</v>
      </c>
      <c r="B99" s="2" t="s">
        <v>564</v>
      </c>
      <c r="C99" s="2" t="s">
        <v>43</v>
      </c>
      <c r="D99" s="2" t="s">
        <v>64</v>
      </c>
      <c r="E99" s="2"/>
      <c r="F99" s="7">
        <v>43311</v>
      </c>
      <c r="G99" s="7">
        <v>43325</v>
      </c>
      <c r="H99" s="123">
        <v>1</v>
      </c>
      <c r="I99" s="28">
        <v>0</v>
      </c>
      <c r="J99" s="145">
        <v>5</v>
      </c>
      <c r="K99" s="131">
        <v>2</v>
      </c>
      <c r="L99" s="132">
        <v>2</v>
      </c>
      <c r="M99" s="32">
        <v>1</v>
      </c>
      <c r="N99" s="149">
        <v>3</v>
      </c>
      <c r="O99" s="18">
        <v>1</v>
      </c>
      <c r="P99" s="19">
        <v>0</v>
      </c>
      <c r="Q99" s="144">
        <v>0</v>
      </c>
      <c r="R99" s="74">
        <v>17</v>
      </c>
      <c r="S99" s="75">
        <f t="shared" ref="S99:S162" si="16">I99+K99+M99+O99+Q99</f>
        <v>4</v>
      </c>
      <c r="T99" s="8">
        <f t="shared" si="10"/>
        <v>0.23529411764705882</v>
      </c>
      <c r="U99" s="9">
        <f t="shared" si="11"/>
        <v>21</v>
      </c>
      <c r="V99" s="3">
        <v>1</v>
      </c>
      <c r="W99" s="2"/>
      <c r="X99" s="2">
        <v>-3</v>
      </c>
      <c r="Y99" s="2">
        <v>1</v>
      </c>
      <c r="Z99" s="2">
        <v>-3</v>
      </c>
      <c r="AA99" s="2"/>
      <c r="AB99" s="2">
        <v>-1</v>
      </c>
      <c r="AC99" s="2"/>
      <c r="AD99" s="2"/>
      <c r="AE99" s="2">
        <v>-1</v>
      </c>
      <c r="AF99" s="2" t="s">
        <v>148</v>
      </c>
      <c r="AG99" s="2" t="s">
        <v>566</v>
      </c>
      <c r="AH99" s="2"/>
      <c r="AI99" s="2"/>
      <c r="AJ99" s="212" t="s">
        <v>567</v>
      </c>
      <c r="AK99" s="2" t="s">
        <v>883</v>
      </c>
      <c r="AL99" s="2" t="s">
        <v>568</v>
      </c>
      <c r="AM99" s="48" t="s">
        <v>483</v>
      </c>
      <c r="AN99" s="4" t="s">
        <v>569</v>
      </c>
      <c r="AO99" s="2" t="s">
        <v>565</v>
      </c>
      <c r="AP99" s="33" t="s">
        <v>87</v>
      </c>
      <c r="AQ99" s="203" t="s">
        <v>204</v>
      </c>
      <c r="AR99" s="6" t="s">
        <v>43</v>
      </c>
      <c r="AS99" s="108" t="s">
        <v>53</v>
      </c>
      <c r="AT99" s="105" t="str">
        <f t="shared" si="14"/>
        <v>CG</v>
      </c>
      <c r="AU99" s="109" t="str">
        <f t="shared" si="15"/>
        <v>A</v>
      </c>
      <c r="AV99" s="110"/>
      <c r="AW99" s="111"/>
    </row>
    <row r="100" spans="1:49" ht="83.25" customHeight="1" thickBot="1" x14ac:dyDescent="0.4">
      <c r="A100" s="186">
        <v>99</v>
      </c>
      <c r="B100" s="2" t="s">
        <v>572</v>
      </c>
      <c r="C100" s="2" t="s">
        <v>246</v>
      </c>
      <c r="D100" s="2" t="s">
        <v>64</v>
      </c>
      <c r="E100" s="2"/>
      <c r="F100" s="7">
        <v>43292</v>
      </c>
      <c r="G100" s="7">
        <v>43309</v>
      </c>
      <c r="H100" s="128">
        <v>7</v>
      </c>
      <c r="I100" s="133">
        <v>3</v>
      </c>
      <c r="J100" s="124">
        <v>24</v>
      </c>
      <c r="K100" s="131">
        <v>6</v>
      </c>
      <c r="L100" s="135">
        <v>22</v>
      </c>
      <c r="M100" s="130">
        <v>4</v>
      </c>
      <c r="N100" s="17">
        <v>0</v>
      </c>
      <c r="O100" s="18">
        <v>0</v>
      </c>
      <c r="P100" s="19">
        <v>0</v>
      </c>
      <c r="Q100" s="35">
        <v>0</v>
      </c>
      <c r="R100" s="74">
        <f t="shared" ref="R100:S163" si="17">H100+J100+L100+N100+P100</f>
        <v>53</v>
      </c>
      <c r="S100" s="75">
        <f t="shared" si="16"/>
        <v>13</v>
      </c>
      <c r="T100" s="8">
        <f t="shared" si="10"/>
        <v>0.24528301886792453</v>
      </c>
      <c r="U100" s="9">
        <f t="shared" si="11"/>
        <v>66</v>
      </c>
      <c r="V100" s="3">
        <v>-3</v>
      </c>
      <c r="W100" s="2">
        <v>1</v>
      </c>
      <c r="X100" s="2">
        <v>-1</v>
      </c>
      <c r="Y100" s="2">
        <v>2</v>
      </c>
      <c r="Z100" s="2">
        <v>-3</v>
      </c>
      <c r="AA100" s="2">
        <v>1</v>
      </c>
      <c r="AB100" s="2"/>
      <c r="AC100" s="2"/>
      <c r="AD100" s="2"/>
      <c r="AE100" s="2"/>
      <c r="AF100" s="2" t="s">
        <v>148</v>
      </c>
      <c r="AG100" s="2" t="s">
        <v>573</v>
      </c>
      <c r="AH100" s="2"/>
      <c r="AI100" s="2"/>
      <c r="AJ100" s="212" t="s">
        <v>912</v>
      </c>
      <c r="AK100" s="2" t="s">
        <v>885</v>
      </c>
      <c r="AL100" s="2" t="s">
        <v>574</v>
      </c>
      <c r="AM100" s="48" t="s">
        <v>575</v>
      </c>
      <c r="AN100" s="4" t="s">
        <v>576</v>
      </c>
      <c r="AO100" s="2" t="s">
        <v>570</v>
      </c>
      <c r="AP100" s="33" t="s">
        <v>51</v>
      </c>
      <c r="AQ100" s="203" t="s">
        <v>166</v>
      </c>
      <c r="AR100" s="6" t="s">
        <v>52</v>
      </c>
      <c r="AS100" s="108" t="s">
        <v>53</v>
      </c>
      <c r="AT100" s="105" t="str">
        <f t="shared" si="14"/>
        <v>CG</v>
      </c>
      <c r="AU100" s="109" t="str">
        <f t="shared" si="15"/>
        <v>C</v>
      </c>
      <c r="AV100" s="110"/>
      <c r="AW100" s="111"/>
    </row>
    <row r="101" spans="1:49" ht="83.25" customHeight="1" thickBot="1" x14ac:dyDescent="0.4">
      <c r="A101" s="186">
        <v>100</v>
      </c>
      <c r="B101" s="2" t="s">
        <v>577</v>
      </c>
      <c r="C101" s="2" t="s">
        <v>246</v>
      </c>
      <c r="D101" s="2" t="s">
        <v>64</v>
      </c>
      <c r="E101" s="7"/>
      <c r="F101" s="7">
        <v>43296</v>
      </c>
      <c r="G101" s="7">
        <v>43311</v>
      </c>
      <c r="H101" s="142">
        <v>2</v>
      </c>
      <c r="I101" s="168">
        <v>0</v>
      </c>
      <c r="J101" s="150">
        <v>3</v>
      </c>
      <c r="K101" s="131">
        <v>2</v>
      </c>
      <c r="L101" s="126">
        <v>19</v>
      </c>
      <c r="M101" s="148">
        <v>2</v>
      </c>
      <c r="N101" s="17">
        <v>0</v>
      </c>
      <c r="O101" s="18">
        <v>0</v>
      </c>
      <c r="P101" s="19">
        <v>0</v>
      </c>
      <c r="Q101" s="127">
        <v>2</v>
      </c>
      <c r="R101" s="74">
        <f t="shared" si="17"/>
        <v>24</v>
      </c>
      <c r="S101" s="75">
        <f t="shared" si="16"/>
        <v>6</v>
      </c>
      <c r="T101" s="8">
        <f t="shared" si="10"/>
        <v>0.25</v>
      </c>
      <c r="U101" s="9">
        <f t="shared" si="11"/>
        <v>30</v>
      </c>
      <c r="V101" s="3">
        <v>-1</v>
      </c>
      <c r="W101" s="2">
        <v>-1</v>
      </c>
      <c r="X101" s="2"/>
      <c r="Y101" s="2">
        <v>1</v>
      </c>
      <c r="Z101" s="2">
        <v>2</v>
      </c>
      <c r="AA101" s="2">
        <v>-1</v>
      </c>
      <c r="AB101" s="2"/>
      <c r="AC101" s="2"/>
      <c r="AD101" s="2"/>
      <c r="AE101" s="2">
        <v>2</v>
      </c>
      <c r="AF101" s="2" t="s">
        <v>65</v>
      </c>
      <c r="AG101" s="2" t="s">
        <v>580</v>
      </c>
      <c r="AH101" s="2"/>
      <c r="AI101" s="2"/>
      <c r="AJ101" s="212" t="s">
        <v>581</v>
      </c>
      <c r="AK101" s="2" t="s">
        <v>883</v>
      </c>
      <c r="AL101" s="2" t="s">
        <v>578</v>
      </c>
      <c r="AM101" s="48" t="s">
        <v>579</v>
      </c>
      <c r="AN101" s="4" t="s">
        <v>582</v>
      </c>
      <c r="AO101" s="2" t="s">
        <v>578</v>
      </c>
      <c r="AP101" s="33" t="s">
        <v>51</v>
      </c>
      <c r="AQ101" s="203" t="s">
        <v>173</v>
      </c>
      <c r="AR101" s="6" t="s">
        <v>246</v>
      </c>
      <c r="AS101" s="108" t="s">
        <v>53</v>
      </c>
      <c r="AT101" s="105" t="str">
        <f t="shared" si="14"/>
        <v>CG</v>
      </c>
      <c r="AU101" s="109" t="str">
        <f t="shared" si="15"/>
        <v>B</v>
      </c>
      <c r="AV101" s="110"/>
      <c r="AW101" s="111"/>
    </row>
    <row r="102" spans="1:49" ht="83.25" customHeight="1" thickBot="1" x14ac:dyDescent="0.4">
      <c r="A102" s="77">
        <v>101</v>
      </c>
      <c r="B102" s="2" t="s">
        <v>585</v>
      </c>
      <c r="C102" s="2" t="s">
        <v>586</v>
      </c>
      <c r="D102" s="2" t="s">
        <v>588</v>
      </c>
      <c r="E102" s="2"/>
      <c r="F102" s="7">
        <v>43304</v>
      </c>
      <c r="G102" s="7">
        <v>43314</v>
      </c>
      <c r="H102" s="27">
        <v>0</v>
      </c>
      <c r="I102" s="28">
        <v>0</v>
      </c>
      <c r="J102" s="29">
        <v>0</v>
      </c>
      <c r="K102" s="30">
        <v>0</v>
      </c>
      <c r="L102" s="31">
        <v>0</v>
      </c>
      <c r="M102" s="32">
        <v>0</v>
      </c>
      <c r="N102" s="17">
        <v>51</v>
      </c>
      <c r="O102" s="18">
        <v>15</v>
      </c>
      <c r="P102" s="19">
        <v>24</v>
      </c>
      <c r="Q102" s="35">
        <v>0</v>
      </c>
      <c r="R102" s="74">
        <f t="shared" si="17"/>
        <v>75</v>
      </c>
      <c r="S102" s="75">
        <f t="shared" si="16"/>
        <v>15</v>
      </c>
      <c r="T102" s="8">
        <f t="shared" si="10"/>
        <v>0.2</v>
      </c>
      <c r="U102" s="9">
        <f t="shared" si="11"/>
        <v>90</v>
      </c>
      <c r="V102" s="3"/>
      <c r="W102" s="2"/>
      <c r="X102" s="2"/>
      <c r="Y102" s="2"/>
      <c r="Z102" s="2"/>
      <c r="AA102" s="2"/>
      <c r="AB102" s="2"/>
      <c r="AC102" s="2"/>
      <c r="AD102" s="2"/>
      <c r="AE102" s="2"/>
      <c r="AF102" s="2" t="s">
        <v>65</v>
      </c>
      <c r="AG102" s="2"/>
      <c r="AH102" s="2" t="s">
        <v>583</v>
      </c>
      <c r="AI102" s="2"/>
      <c r="AJ102" s="212" t="s">
        <v>584</v>
      </c>
      <c r="AK102" s="2" t="s">
        <v>884</v>
      </c>
      <c r="AL102" s="2" t="s">
        <v>128</v>
      </c>
      <c r="AM102" s="48" t="s">
        <v>129</v>
      </c>
      <c r="AN102" s="4" t="s">
        <v>589</v>
      </c>
      <c r="AO102" s="2" t="s">
        <v>587</v>
      </c>
      <c r="AP102" s="33" t="s">
        <v>87</v>
      </c>
      <c r="AQ102" s="203"/>
      <c r="AR102" s="6" t="s">
        <v>583</v>
      </c>
      <c r="AS102" s="108" t="s">
        <v>53</v>
      </c>
      <c r="AT102" s="105" t="b">
        <f t="shared" si="14"/>
        <v>0</v>
      </c>
      <c r="AU102" s="109" t="str">
        <f t="shared" si="15"/>
        <v>C</v>
      </c>
      <c r="AV102" s="110"/>
      <c r="AW102" s="111"/>
    </row>
    <row r="103" spans="1:49" ht="83.25" customHeight="1" thickBot="1" x14ac:dyDescent="0.4">
      <c r="A103" s="186">
        <v>102</v>
      </c>
      <c r="B103" s="2" t="s">
        <v>366</v>
      </c>
      <c r="C103" s="2" t="s">
        <v>52</v>
      </c>
      <c r="D103" s="14" t="s">
        <v>360</v>
      </c>
      <c r="E103" s="2"/>
      <c r="F103" s="7">
        <v>43312</v>
      </c>
      <c r="G103" s="7">
        <v>43341</v>
      </c>
      <c r="H103" s="27">
        <v>0</v>
      </c>
      <c r="I103" s="28">
        <v>0</v>
      </c>
      <c r="J103" s="29">
        <v>0</v>
      </c>
      <c r="K103" s="30">
        <v>0</v>
      </c>
      <c r="L103" s="31">
        <v>0</v>
      </c>
      <c r="M103" s="32">
        <v>0</v>
      </c>
      <c r="N103" s="153">
        <v>8</v>
      </c>
      <c r="O103" s="147">
        <v>2</v>
      </c>
      <c r="P103" s="19">
        <v>0</v>
      </c>
      <c r="Q103" s="35">
        <v>0</v>
      </c>
      <c r="R103" s="74">
        <f t="shared" si="17"/>
        <v>8</v>
      </c>
      <c r="S103" s="75">
        <f t="shared" si="16"/>
        <v>2</v>
      </c>
      <c r="T103" s="8">
        <f t="shared" si="10"/>
        <v>0.25</v>
      </c>
      <c r="U103" s="9">
        <f t="shared" si="11"/>
        <v>10</v>
      </c>
      <c r="V103" s="3"/>
      <c r="W103" s="2"/>
      <c r="X103" s="2"/>
      <c r="Y103" s="2"/>
      <c r="Z103" s="2"/>
      <c r="AA103" s="2"/>
      <c r="AB103" s="2"/>
      <c r="AC103" s="2"/>
      <c r="AD103" s="2"/>
      <c r="AE103" s="2"/>
      <c r="AF103" s="6" t="s">
        <v>133</v>
      </c>
      <c r="AG103" s="2"/>
      <c r="AH103" s="2" t="s">
        <v>592</v>
      </c>
      <c r="AI103" s="2"/>
      <c r="AJ103" s="212" t="s">
        <v>133</v>
      </c>
      <c r="AK103" s="2" t="s">
        <v>884</v>
      </c>
      <c r="AL103" s="2" t="s">
        <v>593</v>
      </c>
      <c r="AM103" s="47" t="s">
        <v>594</v>
      </c>
      <c r="AN103" s="4">
        <v>683891238</v>
      </c>
      <c r="AO103" s="2" t="s">
        <v>367</v>
      </c>
      <c r="AP103" s="33" t="s">
        <v>87</v>
      </c>
      <c r="AQ103" s="203"/>
      <c r="AR103" s="6" t="s">
        <v>592</v>
      </c>
      <c r="AS103" s="108" t="s">
        <v>53</v>
      </c>
      <c r="AT103" s="105" t="str">
        <f t="shared" si="14"/>
        <v>CUA</v>
      </c>
      <c r="AU103" s="109" t="str">
        <f t="shared" si="15"/>
        <v>A</v>
      </c>
      <c r="AV103" s="110"/>
      <c r="AW103" s="111"/>
    </row>
    <row r="104" spans="1:49" ht="83.25" customHeight="1" thickBot="1" x14ac:dyDescent="0.4">
      <c r="A104" s="186">
        <v>103</v>
      </c>
      <c r="B104" s="2" t="s">
        <v>600</v>
      </c>
      <c r="C104" s="2" t="s">
        <v>246</v>
      </c>
      <c r="D104" s="2" t="s">
        <v>351</v>
      </c>
      <c r="E104" s="2" t="s">
        <v>606</v>
      </c>
      <c r="F104" s="7">
        <v>43308</v>
      </c>
      <c r="G104" s="7">
        <v>43329</v>
      </c>
      <c r="H104" s="128">
        <v>7</v>
      </c>
      <c r="I104" s="28">
        <v>2</v>
      </c>
      <c r="J104" s="129">
        <v>31</v>
      </c>
      <c r="K104" s="30">
        <v>4</v>
      </c>
      <c r="L104" s="135">
        <v>22</v>
      </c>
      <c r="M104" s="32">
        <v>4</v>
      </c>
      <c r="N104" s="17">
        <v>6</v>
      </c>
      <c r="O104" s="18">
        <v>1</v>
      </c>
      <c r="P104" s="19">
        <v>0</v>
      </c>
      <c r="Q104" s="127">
        <v>4</v>
      </c>
      <c r="R104" s="74">
        <f t="shared" si="17"/>
        <v>66</v>
      </c>
      <c r="S104" s="75">
        <f t="shared" si="16"/>
        <v>15</v>
      </c>
      <c r="T104" s="8">
        <f t="shared" si="10"/>
        <v>0.22727272727272727</v>
      </c>
      <c r="U104" s="9">
        <f t="shared" si="11"/>
        <v>81</v>
      </c>
      <c r="V104" s="3">
        <v>-3</v>
      </c>
      <c r="W104" s="2"/>
      <c r="X104" s="2">
        <v>1</v>
      </c>
      <c r="Y104" s="2"/>
      <c r="Z104" s="2">
        <v>-4</v>
      </c>
      <c r="AA104" s="2"/>
      <c r="AB104" s="2"/>
      <c r="AC104" s="2"/>
      <c r="AD104" s="2"/>
      <c r="AE104" s="2">
        <v>4</v>
      </c>
      <c r="AF104" s="2" t="s">
        <v>148</v>
      </c>
      <c r="AG104" s="2" t="s">
        <v>596</v>
      </c>
      <c r="AH104" s="2"/>
      <c r="AI104" s="2"/>
      <c r="AJ104" s="212" t="s">
        <v>597</v>
      </c>
      <c r="AK104" s="2" t="s">
        <v>891</v>
      </c>
      <c r="AL104" s="2" t="s">
        <v>598</v>
      </c>
      <c r="AM104" s="47" t="s">
        <v>599</v>
      </c>
      <c r="AN104" s="4">
        <v>615114459</v>
      </c>
      <c r="AO104" s="2" t="s">
        <v>595</v>
      </c>
      <c r="AP104" s="33" t="s">
        <v>87</v>
      </c>
      <c r="AQ104" s="203" t="s">
        <v>88</v>
      </c>
      <c r="AR104" s="6" t="s">
        <v>246</v>
      </c>
      <c r="AS104" s="108" t="s">
        <v>53</v>
      </c>
      <c r="AT104" s="105" t="str">
        <f t="shared" si="14"/>
        <v>CGG</v>
      </c>
      <c r="AU104" s="109" t="str">
        <f t="shared" si="15"/>
        <v>C</v>
      </c>
      <c r="AV104" s="110"/>
      <c r="AW104" s="111"/>
    </row>
    <row r="105" spans="1:49" ht="83.25" customHeight="1" thickBot="1" x14ac:dyDescent="0.4">
      <c r="A105" s="77">
        <v>104</v>
      </c>
      <c r="B105" s="2" t="s">
        <v>146</v>
      </c>
      <c r="C105" s="2" t="s">
        <v>111</v>
      </c>
      <c r="D105" s="2" t="s">
        <v>351</v>
      </c>
      <c r="E105" s="2" t="s">
        <v>147</v>
      </c>
      <c r="F105" s="7">
        <v>43324</v>
      </c>
      <c r="G105" s="7">
        <v>43329</v>
      </c>
      <c r="H105" s="27">
        <v>20</v>
      </c>
      <c r="I105" s="28">
        <v>3</v>
      </c>
      <c r="J105" s="29">
        <v>20</v>
      </c>
      <c r="K105" s="30">
        <v>3</v>
      </c>
      <c r="L105" s="31">
        <v>20</v>
      </c>
      <c r="M105" s="32">
        <v>3</v>
      </c>
      <c r="N105" s="17">
        <v>0</v>
      </c>
      <c r="O105" s="18">
        <v>0</v>
      </c>
      <c r="P105" s="19">
        <v>0</v>
      </c>
      <c r="Q105" s="35">
        <v>0</v>
      </c>
      <c r="R105" s="74">
        <f t="shared" si="17"/>
        <v>60</v>
      </c>
      <c r="S105" s="75">
        <f t="shared" si="16"/>
        <v>9</v>
      </c>
      <c r="T105" s="8">
        <f t="shared" si="10"/>
        <v>0.15</v>
      </c>
      <c r="U105" s="9">
        <f t="shared" si="11"/>
        <v>69</v>
      </c>
      <c r="V105" s="3"/>
      <c r="W105" s="2"/>
      <c r="X105" s="2"/>
      <c r="Y105" s="2"/>
      <c r="Z105" s="2"/>
      <c r="AA105" s="2"/>
      <c r="AB105" s="2"/>
      <c r="AC105" s="2"/>
      <c r="AD105" s="2"/>
      <c r="AE105" s="2"/>
      <c r="AF105" s="2" t="s">
        <v>148</v>
      </c>
      <c r="AG105" s="2" t="s">
        <v>149</v>
      </c>
      <c r="AH105" s="2"/>
      <c r="AI105" s="2"/>
      <c r="AJ105" s="33" t="s">
        <v>923</v>
      </c>
      <c r="AK105" s="6" t="s">
        <v>881</v>
      </c>
      <c r="AL105" s="2" t="s">
        <v>159</v>
      </c>
      <c r="AM105" s="48" t="s">
        <v>160</v>
      </c>
      <c r="AN105" s="4">
        <v>769355118</v>
      </c>
      <c r="AO105" s="2" t="s">
        <v>112</v>
      </c>
      <c r="AP105" s="33" t="s">
        <v>122</v>
      </c>
      <c r="AQ105" s="203" t="s">
        <v>152</v>
      </c>
      <c r="AR105" s="6" t="s">
        <v>153</v>
      </c>
      <c r="AS105" s="108" t="s">
        <v>154</v>
      </c>
      <c r="AT105" s="105" t="str">
        <f t="shared" si="14"/>
        <v>CGG</v>
      </c>
      <c r="AU105" s="109" t="str">
        <f t="shared" si="15"/>
        <v>C</v>
      </c>
      <c r="AV105" s="110"/>
      <c r="AW105" s="111"/>
    </row>
    <row r="106" spans="1:49" ht="83.25" customHeight="1" thickBot="1" x14ac:dyDescent="0.4">
      <c r="A106" s="77">
        <v>105</v>
      </c>
      <c r="B106" s="2" t="s">
        <v>146</v>
      </c>
      <c r="C106" s="2" t="s">
        <v>111</v>
      </c>
      <c r="D106" s="2" t="s">
        <v>351</v>
      </c>
      <c r="E106" s="2" t="s">
        <v>147</v>
      </c>
      <c r="F106" s="7">
        <v>43298</v>
      </c>
      <c r="G106" s="7">
        <v>43301</v>
      </c>
      <c r="H106" s="27">
        <v>20</v>
      </c>
      <c r="I106" s="28">
        <v>3</v>
      </c>
      <c r="J106" s="29">
        <v>20</v>
      </c>
      <c r="K106" s="30">
        <v>3</v>
      </c>
      <c r="L106" s="31">
        <v>0</v>
      </c>
      <c r="M106" s="32">
        <v>0</v>
      </c>
      <c r="N106" s="17">
        <v>0</v>
      </c>
      <c r="O106" s="18">
        <v>0</v>
      </c>
      <c r="P106" s="19">
        <v>0</v>
      </c>
      <c r="Q106" s="35">
        <v>0</v>
      </c>
      <c r="R106" s="74">
        <f t="shared" si="17"/>
        <v>40</v>
      </c>
      <c r="S106" s="75">
        <f t="shared" si="16"/>
        <v>6</v>
      </c>
      <c r="T106" s="8">
        <f t="shared" si="10"/>
        <v>0.15</v>
      </c>
      <c r="U106" s="9">
        <f t="shared" si="11"/>
        <v>46</v>
      </c>
      <c r="V106" s="3"/>
      <c r="W106" s="2"/>
      <c r="X106" s="2"/>
      <c r="Y106" s="2"/>
      <c r="Z106" s="2"/>
      <c r="AA106" s="2"/>
      <c r="AB106" s="2"/>
      <c r="AC106" s="2"/>
      <c r="AD106" s="2"/>
      <c r="AE106" s="2"/>
      <c r="AF106" s="2" t="s">
        <v>148</v>
      </c>
      <c r="AG106" s="2" t="s">
        <v>149</v>
      </c>
      <c r="AH106" s="2"/>
      <c r="AI106" s="2"/>
      <c r="AJ106" s="33" t="s">
        <v>923</v>
      </c>
      <c r="AK106" s="6" t="s">
        <v>881</v>
      </c>
      <c r="AL106" s="2" t="s">
        <v>157</v>
      </c>
      <c r="AM106" s="48" t="s">
        <v>158</v>
      </c>
      <c r="AN106" s="4">
        <v>633819880</v>
      </c>
      <c r="AO106" s="2" t="s">
        <v>112</v>
      </c>
      <c r="AP106" s="33" t="s">
        <v>51</v>
      </c>
      <c r="AQ106" s="203" t="s">
        <v>152</v>
      </c>
      <c r="AR106" s="6" t="s">
        <v>153</v>
      </c>
      <c r="AS106" s="108" t="s">
        <v>154</v>
      </c>
      <c r="AT106" s="105" t="str">
        <f t="shared" si="14"/>
        <v>CGG</v>
      </c>
      <c r="AU106" s="109" t="str">
        <f t="shared" si="15"/>
        <v>B</v>
      </c>
      <c r="AV106" s="110"/>
      <c r="AW106" s="111"/>
    </row>
    <row r="107" spans="1:49" ht="83.25" customHeight="1" thickBot="1" x14ac:dyDescent="0.4">
      <c r="A107" s="186">
        <v>106</v>
      </c>
      <c r="B107" s="2" t="s">
        <v>605</v>
      </c>
      <c r="C107" s="2" t="s">
        <v>111</v>
      </c>
      <c r="D107" s="2" t="s">
        <v>64</v>
      </c>
      <c r="E107" s="2"/>
      <c r="F107" s="7">
        <v>43318</v>
      </c>
      <c r="G107" s="7">
        <v>43336</v>
      </c>
      <c r="H107" s="142">
        <v>1</v>
      </c>
      <c r="I107" s="139">
        <v>1</v>
      </c>
      <c r="J107" s="145">
        <v>6</v>
      </c>
      <c r="K107" s="143">
        <v>1</v>
      </c>
      <c r="L107" s="126">
        <v>16</v>
      </c>
      <c r="M107" s="136">
        <v>2</v>
      </c>
      <c r="N107" s="146">
        <v>5</v>
      </c>
      <c r="O107" s="147">
        <v>1</v>
      </c>
      <c r="P107" s="19">
        <v>0</v>
      </c>
      <c r="Q107" s="127">
        <v>6</v>
      </c>
      <c r="R107" s="74">
        <f t="shared" si="17"/>
        <v>28</v>
      </c>
      <c r="S107" s="75">
        <f t="shared" si="16"/>
        <v>11</v>
      </c>
      <c r="T107" s="8">
        <f t="shared" si="10"/>
        <v>0.39285714285714285</v>
      </c>
      <c r="U107" s="9">
        <f t="shared" si="11"/>
        <v>39</v>
      </c>
      <c r="V107" s="3">
        <v>-9</v>
      </c>
      <c r="W107" s="2"/>
      <c r="X107" s="2">
        <v>-6</v>
      </c>
      <c r="Y107" s="2">
        <v>-1</v>
      </c>
      <c r="Z107" s="2">
        <v>1</v>
      </c>
      <c r="AA107" s="2"/>
      <c r="AB107" s="2">
        <v>2</v>
      </c>
      <c r="AC107" s="2"/>
      <c r="AD107" s="2"/>
      <c r="AE107" s="2">
        <v>6</v>
      </c>
      <c r="AF107" s="2" t="s">
        <v>148</v>
      </c>
      <c r="AG107" s="2" t="s">
        <v>608</v>
      </c>
      <c r="AH107" s="2"/>
      <c r="AI107" s="2"/>
      <c r="AJ107" s="212" t="s">
        <v>609</v>
      </c>
      <c r="AK107" s="2" t="s">
        <v>888</v>
      </c>
      <c r="AL107" s="2" t="s">
        <v>610</v>
      </c>
      <c r="AM107" s="48" t="s">
        <v>611</v>
      </c>
      <c r="AN107" s="4">
        <v>751675816</v>
      </c>
      <c r="AO107" s="2" t="s">
        <v>607</v>
      </c>
      <c r="AP107" s="33" t="s">
        <v>122</v>
      </c>
      <c r="AQ107" s="203" t="s">
        <v>471</v>
      </c>
      <c r="AR107" s="6" t="s">
        <v>420</v>
      </c>
      <c r="AS107" s="108" t="s">
        <v>53</v>
      </c>
      <c r="AT107" s="105" t="str">
        <f t="shared" si="14"/>
        <v>CG</v>
      </c>
      <c r="AU107" s="109" t="str">
        <f t="shared" si="15"/>
        <v>B</v>
      </c>
      <c r="AV107" s="110"/>
      <c r="AW107" s="111"/>
    </row>
    <row r="108" spans="1:49" ht="83.25" customHeight="1" thickBot="1" x14ac:dyDescent="0.4">
      <c r="A108" s="186">
        <v>107</v>
      </c>
      <c r="B108" s="2" t="s">
        <v>612</v>
      </c>
      <c r="C108" s="2" t="s">
        <v>246</v>
      </c>
      <c r="D108" s="2" t="s">
        <v>351</v>
      </c>
      <c r="E108" s="2" t="s">
        <v>614</v>
      </c>
      <c r="F108" s="7">
        <v>43291</v>
      </c>
      <c r="G108" s="7">
        <v>43308</v>
      </c>
      <c r="H108" s="152">
        <v>2</v>
      </c>
      <c r="I108" s="139">
        <v>1</v>
      </c>
      <c r="J108" s="150">
        <v>32</v>
      </c>
      <c r="K108" s="125">
        <v>6</v>
      </c>
      <c r="L108" s="166">
        <v>12</v>
      </c>
      <c r="M108" s="136">
        <v>4</v>
      </c>
      <c r="N108" s="153">
        <v>0</v>
      </c>
      <c r="O108" s="147">
        <v>0</v>
      </c>
      <c r="P108" s="165">
        <v>0</v>
      </c>
      <c r="Q108" s="144">
        <v>4</v>
      </c>
      <c r="R108" s="74">
        <f t="shared" si="17"/>
        <v>46</v>
      </c>
      <c r="S108" s="75">
        <f t="shared" si="16"/>
        <v>15</v>
      </c>
      <c r="T108" s="8">
        <f t="shared" si="10"/>
        <v>0.32608695652173914</v>
      </c>
      <c r="U108" s="9">
        <f t="shared" si="11"/>
        <v>61</v>
      </c>
      <c r="V108" s="3"/>
      <c r="W108" s="2"/>
      <c r="X108" s="2"/>
      <c r="Y108" s="2">
        <v>-2</v>
      </c>
      <c r="Z108" s="2"/>
      <c r="AA108" s="2"/>
      <c r="AB108" s="2"/>
      <c r="AC108" s="2"/>
      <c r="AD108" s="2"/>
      <c r="AE108" s="2">
        <v>-1</v>
      </c>
      <c r="AF108" s="2" t="s">
        <v>148</v>
      </c>
      <c r="AG108" s="2" t="s">
        <v>615</v>
      </c>
      <c r="AH108" s="2"/>
      <c r="AI108" s="2"/>
      <c r="AJ108" s="212" t="s">
        <v>616</v>
      </c>
      <c r="AK108" s="2" t="s">
        <v>883</v>
      </c>
      <c r="AL108" s="2" t="s">
        <v>617</v>
      </c>
      <c r="AM108" s="48" t="s">
        <v>618</v>
      </c>
      <c r="AN108" s="4">
        <v>641683613</v>
      </c>
      <c r="AO108" s="2" t="s">
        <v>613</v>
      </c>
      <c r="AP108" s="33" t="s">
        <v>51</v>
      </c>
      <c r="AQ108" s="203" t="s">
        <v>506</v>
      </c>
      <c r="AR108" s="6" t="s">
        <v>52</v>
      </c>
      <c r="AS108" s="108" t="s">
        <v>53</v>
      </c>
      <c r="AT108" s="105" t="str">
        <f t="shared" si="14"/>
        <v>CGG</v>
      </c>
      <c r="AU108" s="109" t="str">
        <f t="shared" si="15"/>
        <v>B</v>
      </c>
      <c r="AV108" s="110"/>
      <c r="AW108" s="111"/>
    </row>
    <row r="109" spans="1:49" ht="95.25" customHeight="1" thickBot="1" x14ac:dyDescent="0.4">
      <c r="A109" s="186">
        <v>108</v>
      </c>
      <c r="B109" s="2" t="s">
        <v>619</v>
      </c>
      <c r="C109" s="2" t="s">
        <v>461</v>
      </c>
      <c r="D109" s="14" t="s">
        <v>360</v>
      </c>
      <c r="E109" s="2"/>
      <c r="F109" s="7">
        <v>43331</v>
      </c>
      <c r="G109" s="7">
        <v>43340</v>
      </c>
      <c r="H109" s="27">
        <v>0</v>
      </c>
      <c r="I109" s="28">
        <v>0</v>
      </c>
      <c r="J109" s="29">
        <v>0</v>
      </c>
      <c r="K109" s="30">
        <v>0</v>
      </c>
      <c r="L109" s="31">
        <v>0</v>
      </c>
      <c r="M109" s="32">
        <v>0</v>
      </c>
      <c r="N109" s="146">
        <v>12</v>
      </c>
      <c r="O109" s="151">
        <v>3</v>
      </c>
      <c r="P109" s="19">
        <v>0</v>
      </c>
      <c r="Q109" s="35">
        <v>0</v>
      </c>
      <c r="R109" s="74">
        <f t="shared" si="17"/>
        <v>12</v>
      </c>
      <c r="S109" s="75">
        <f t="shared" si="16"/>
        <v>3</v>
      </c>
      <c r="T109" s="8">
        <f t="shared" si="10"/>
        <v>0.25</v>
      </c>
      <c r="U109" s="9">
        <f t="shared" si="11"/>
        <v>15</v>
      </c>
      <c r="V109" s="3"/>
      <c r="W109" s="2"/>
      <c r="X109" s="2"/>
      <c r="Y109" s="2"/>
      <c r="Z109" s="2"/>
      <c r="AA109" s="2"/>
      <c r="AB109" s="2">
        <v>1</v>
      </c>
      <c r="AC109" s="2">
        <v>-1</v>
      </c>
      <c r="AD109" s="2"/>
      <c r="AE109" s="2"/>
      <c r="AF109" s="2" t="s">
        <v>148</v>
      </c>
      <c r="AG109" s="2"/>
      <c r="AH109" s="2" t="s">
        <v>622</v>
      </c>
      <c r="AI109" s="2"/>
      <c r="AJ109" s="212" t="s">
        <v>624</v>
      </c>
      <c r="AK109" s="2" t="s">
        <v>884</v>
      </c>
      <c r="AL109" s="2" t="s">
        <v>625</v>
      </c>
      <c r="AM109" s="47" t="s">
        <v>627</v>
      </c>
      <c r="AN109" s="4">
        <v>630053360</v>
      </c>
      <c r="AO109" s="2" t="s">
        <v>620</v>
      </c>
      <c r="AP109" s="33" t="s">
        <v>122</v>
      </c>
      <c r="AQ109" s="203"/>
      <c r="AR109" s="6"/>
      <c r="AS109" s="108" t="s">
        <v>53</v>
      </c>
      <c r="AT109" s="105" t="str">
        <f t="shared" si="14"/>
        <v>CUA</v>
      </c>
      <c r="AU109" s="109" t="str">
        <f t="shared" si="15"/>
        <v>A</v>
      </c>
      <c r="AV109" s="110"/>
      <c r="AW109" s="111"/>
    </row>
    <row r="110" spans="1:49" ht="128.25" customHeight="1" thickBot="1" x14ac:dyDescent="0.4">
      <c r="A110" s="186">
        <v>109</v>
      </c>
      <c r="B110" s="2" t="s">
        <v>619</v>
      </c>
      <c r="C110" s="2" t="s">
        <v>461</v>
      </c>
      <c r="D110" s="2" t="s">
        <v>351</v>
      </c>
      <c r="E110" s="2" t="s">
        <v>621</v>
      </c>
      <c r="F110" s="7">
        <v>43290</v>
      </c>
      <c r="G110" s="7">
        <v>43308</v>
      </c>
      <c r="H110" s="128">
        <v>7</v>
      </c>
      <c r="I110" s="139">
        <v>3</v>
      </c>
      <c r="J110" s="124">
        <v>18</v>
      </c>
      <c r="K110" s="125">
        <v>4</v>
      </c>
      <c r="L110" s="135">
        <v>20</v>
      </c>
      <c r="M110" s="136">
        <v>4</v>
      </c>
      <c r="N110" s="153">
        <v>0</v>
      </c>
      <c r="O110" s="147">
        <v>0</v>
      </c>
      <c r="P110" s="165">
        <v>0</v>
      </c>
      <c r="Q110" s="138">
        <v>0</v>
      </c>
      <c r="R110" s="74">
        <f t="shared" si="17"/>
        <v>45</v>
      </c>
      <c r="S110" s="75">
        <f t="shared" si="16"/>
        <v>11</v>
      </c>
      <c r="T110" s="8">
        <f t="shared" si="10"/>
        <v>0.24444444444444444</v>
      </c>
      <c r="U110" s="9">
        <f t="shared" si="11"/>
        <v>56</v>
      </c>
      <c r="V110" s="3">
        <v>-3</v>
      </c>
      <c r="W110" s="2"/>
      <c r="X110" s="2">
        <v>-12</v>
      </c>
      <c r="Y110" s="2">
        <v>-1</v>
      </c>
      <c r="Z110" s="2">
        <v>-5</v>
      </c>
      <c r="AA110" s="2"/>
      <c r="AB110" s="2"/>
      <c r="AC110" s="2"/>
      <c r="AD110" s="2"/>
      <c r="AE110" s="2"/>
      <c r="AF110" s="2" t="s">
        <v>148</v>
      </c>
      <c r="AG110" s="2" t="s">
        <v>623</v>
      </c>
      <c r="AH110" s="2"/>
      <c r="AI110" s="2"/>
      <c r="AJ110" s="212" t="s">
        <v>904</v>
      </c>
      <c r="AK110" s="2" t="s">
        <v>885</v>
      </c>
      <c r="AL110" s="2" t="s">
        <v>626</v>
      </c>
      <c r="AM110" s="47" t="s">
        <v>628</v>
      </c>
      <c r="AN110" s="4">
        <v>670987233</v>
      </c>
      <c r="AO110" s="2" t="s">
        <v>620</v>
      </c>
      <c r="AP110" s="33" t="s">
        <v>51</v>
      </c>
      <c r="AQ110" s="203" t="s">
        <v>629</v>
      </c>
      <c r="AR110" s="6" t="s">
        <v>246</v>
      </c>
      <c r="AS110" s="108" t="s">
        <v>53</v>
      </c>
      <c r="AT110" s="105" t="str">
        <f t="shared" si="14"/>
        <v>CGG</v>
      </c>
      <c r="AU110" s="109" t="str">
        <f t="shared" si="15"/>
        <v>B</v>
      </c>
      <c r="AV110" s="110"/>
      <c r="AW110" s="111"/>
    </row>
    <row r="111" spans="1:49" ht="128.25" customHeight="1" thickBot="1" x14ac:dyDescent="0.4">
      <c r="A111" s="186">
        <v>110</v>
      </c>
      <c r="B111" s="2" t="s">
        <v>647</v>
      </c>
      <c r="C111" s="2" t="s">
        <v>461</v>
      </c>
      <c r="D111" s="2" t="s">
        <v>64</v>
      </c>
      <c r="E111" s="2"/>
      <c r="F111" s="7">
        <v>43291</v>
      </c>
      <c r="G111" s="7">
        <v>43307</v>
      </c>
      <c r="H111" s="123">
        <v>13</v>
      </c>
      <c r="I111" s="188">
        <v>3</v>
      </c>
      <c r="J111" s="129">
        <v>24</v>
      </c>
      <c r="K111" s="125">
        <v>4</v>
      </c>
      <c r="L111" s="135">
        <v>31</v>
      </c>
      <c r="M111" s="32">
        <v>6</v>
      </c>
      <c r="N111" s="17">
        <v>0</v>
      </c>
      <c r="O111" s="18">
        <v>0</v>
      </c>
      <c r="P111" s="19">
        <v>0</v>
      </c>
      <c r="Q111" s="35">
        <v>3</v>
      </c>
      <c r="R111" s="74">
        <f t="shared" si="17"/>
        <v>68</v>
      </c>
      <c r="S111" s="75">
        <f t="shared" si="16"/>
        <v>16</v>
      </c>
      <c r="T111" s="8">
        <f t="shared" si="10"/>
        <v>0.23529411764705882</v>
      </c>
      <c r="U111" s="9">
        <f t="shared" si="11"/>
        <v>84</v>
      </c>
      <c r="V111" s="3">
        <v>1</v>
      </c>
      <c r="W111" s="2">
        <v>-1</v>
      </c>
      <c r="X111" s="2">
        <v>1</v>
      </c>
      <c r="Y111" s="2">
        <v>-2</v>
      </c>
      <c r="Z111" s="2">
        <v>-4</v>
      </c>
      <c r="AA111" s="2"/>
      <c r="AB111" s="2"/>
      <c r="AC111" s="2"/>
      <c r="AD111" s="2"/>
      <c r="AE111" s="2"/>
      <c r="AF111" s="2" t="s">
        <v>148</v>
      </c>
      <c r="AG111" s="2" t="s">
        <v>630</v>
      </c>
      <c r="AH111" s="2"/>
      <c r="AI111" s="2"/>
      <c r="AJ111" s="212" t="s">
        <v>913</v>
      </c>
      <c r="AK111" s="2" t="s">
        <v>885</v>
      </c>
      <c r="AL111" s="2" t="s">
        <v>631</v>
      </c>
      <c r="AM111" s="48" t="s">
        <v>632</v>
      </c>
      <c r="AN111" s="79" t="s">
        <v>633</v>
      </c>
      <c r="AO111" s="2" t="s">
        <v>634</v>
      </c>
      <c r="AP111" s="33" t="s">
        <v>51</v>
      </c>
      <c r="AQ111" s="203" t="s">
        <v>635</v>
      </c>
      <c r="AR111" s="6" t="s">
        <v>246</v>
      </c>
      <c r="AS111" s="108" t="s">
        <v>53</v>
      </c>
      <c r="AT111" s="105" t="str">
        <f t="shared" si="14"/>
        <v>CG</v>
      </c>
      <c r="AU111" s="109" t="str">
        <f t="shared" si="15"/>
        <v>C</v>
      </c>
      <c r="AV111" s="110"/>
      <c r="AW111" s="111"/>
    </row>
    <row r="112" spans="1:49" ht="83.25" customHeight="1" thickBot="1" x14ac:dyDescent="0.4">
      <c r="A112" s="154">
        <v>111</v>
      </c>
      <c r="B112" s="2" t="s">
        <v>648</v>
      </c>
      <c r="C112" s="2" t="s">
        <v>461</v>
      </c>
      <c r="D112" s="2" t="s">
        <v>351</v>
      </c>
      <c r="E112" s="2" t="s">
        <v>649</v>
      </c>
      <c r="F112" s="7">
        <v>43290</v>
      </c>
      <c r="G112" s="7">
        <v>43307</v>
      </c>
      <c r="H112" s="152">
        <v>6</v>
      </c>
      <c r="I112" s="139">
        <v>1</v>
      </c>
      <c r="J112" s="150">
        <v>30</v>
      </c>
      <c r="K112" s="134">
        <v>5</v>
      </c>
      <c r="L112" s="126">
        <v>13</v>
      </c>
      <c r="M112" s="136">
        <v>4</v>
      </c>
      <c r="N112" s="149">
        <v>13</v>
      </c>
      <c r="O112" s="147">
        <v>2</v>
      </c>
      <c r="P112" s="165">
        <v>0</v>
      </c>
      <c r="Q112" s="138">
        <v>0</v>
      </c>
      <c r="R112" s="74">
        <f t="shared" si="17"/>
        <v>62</v>
      </c>
      <c r="S112" s="75">
        <f t="shared" si="16"/>
        <v>12</v>
      </c>
      <c r="T112" s="8">
        <f t="shared" si="10"/>
        <v>0.19354838709677419</v>
      </c>
      <c r="U112" s="9">
        <f t="shared" si="11"/>
        <v>74</v>
      </c>
      <c r="V112" s="3"/>
      <c r="W112" s="2"/>
      <c r="X112" s="2"/>
      <c r="Y112" s="2"/>
      <c r="Z112" s="2">
        <v>1</v>
      </c>
      <c r="AA112" s="2"/>
      <c r="AB112" s="2">
        <v>-1</v>
      </c>
      <c r="AC112" s="2"/>
      <c r="AD112" s="2"/>
      <c r="AE112" s="2"/>
      <c r="AF112" s="2" t="s">
        <v>148</v>
      </c>
      <c r="AG112" s="2" t="s">
        <v>651</v>
      </c>
      <c r="AH112" s="2"/>
      <c r="AI112" s="2"/>
      <c r="AJ112" s="212" t="s">
        <v>637</v>
      </c>
      <c r="AK112" s="2" t="s">
        <v>883</v>
      </c>
      <c r="AL112" s="2" t="s">
        <v>638</v>
      </c>
      <c r="AM112" s="48" t="s">
        <v>639</v>
      </c>
      <c r="AN112" s="4" t="s">
        <v>640</v>
      </c>
      <c r="AO112" s="2" t="s">
        <v>636</v>
      </c>
      <c r="AP112" s="33" t="s">
        <v>51</v>
      </c>
      <c r="AQ112" s="203" t="s">
        <v>641</v>
      </c>
      <c r="AR112" s="6" t="s">
        <v>461</v>
      </c>
      <c r="AS112" s="108" t="s">
        <v>53</v>
      </c>
      <c r="AT112" s="105" t="str">
        <f t="shared" si="14"/>
        <v>CGG</v>
      </c>
      <c r="AU112" s="109" t="str">
        <f t="shared" si="15"/>
        <v>C</v>
      </c>
      <c r="AV112" s="110"/>
      <c r="AW112" s="111"/>
    </row>
    <row r="113" spans="1:49" ht="83.25" customHeight="1" thickBot="1" x14ac:dyDescent="0.4">
      <c r="A113" s="186">
        <v>112</v>
      </c>
      <c r="B113" s="2" t="s">
        <v>873</v>
      </c>
      <c r="C113" s="2" t="s">
        <v>461</v>
      </c>
      <c r="D113" s="2" t="s">
        <v>64</v>
      </c>
      <c r="E113" s="2"/>
      <c r="F113" s="7">
        <v>43289</v>
      </c>
      <c r="G113" s="7">
        <v>43302</v>
      </c>
      <c r="H113" s="123">
        <v>4</v>
      </c>
      <c r="I113" s="139">
        <v>0</v>
      </c>
      <c r="J113" s="129">
        <v>18</v>
      </c>
      <c r="K113" s="131">
        <v>5</v>
      </c>
      <c r="L113" s="166">
        <v>12</v>
      </c>
      <c r="M113" s="130">
        <v>5</v>
      </c>
      <c r="N113" s="153">
        <v>0</v>
      </c>
      <c r="O113" s="147">
        <v>0</v>
      </c>
      <c r="P113" s="165">
        <v>0</v>
      </c>
      <c r="Q113" s="138">
        <v>0</v>
      </c>
      <c r="R113" s="74">
        <f t="shared" si="17"/>
        <v>34</v>
      </c>
      <c r="S113" s="75">
        <f t="shared" si="16"/>
        <v>10</v>
      </c>
      <c r="T113" s="8">
        <f t="shared" si="10"/>
        <v>0.29411764705882354</v>
      </c>
      <c r="U113" s="9">
        <f t="shared" si="11"/>
        <v>44</v>
      </c>
      <c r="V113" s="3">
        <v>1</v>
      </c>
      <c r="W113" s="2"/>
      <c r="X113" s="2">
        <v>3</v>
      </c>
      <c r="Y113" s="2">
        <v>3</v>
      </c>
      <c r="Z113" s="2"/>
      <c r="AA113" s="2">
        <v>3</v>
      </c>
      <c r="AB113" s="2"/>
      <c r="AC113" s="2"/>
      <c r="AD113" s="2"/>
      <c r="AE113" s="2"/>
      <c r="AF113" s="2" t="s">
        <v>148</v>
      </c>
      <c r="AG113" s="2" t="s">
        <v>652</v>
      </c>
      <c r="AH113" s="2"/>
      <c r="AI113" s="2"/>
      <c r="AJ113" s="212" t="s">
        <v>914</v>
      </c>
      <c r="AK113" s="2" t="s">
        <v>885</v>
      </c>
      <c r="AL113" s="2" t="s">
        <v>643</v>
      </c>
      <c r="AM113" s="48" t="s">
        <v>644</v>
      </c>
      <c r="AN113" s="4" t="s">
        <v>645</v>
      </c>
      <c r="AO113" s="2" t="s">
        <v>642</v>
      </c>
      <c r="AP113" s="33" t="s">
        <v>51</v>
      </c>
      <c r="AQ113" s="203" t="s">
        <v>646</v>
      </c>
      <c r="AR113" s="6" t="s">
        <v>461</v>
      </c>
      <c r="AS113" s="108" t="s">
        <v>53</v>
      </c>
      <c r="AT113" s="105" t="str">
        <f t="shared" si="14"/>
        <v>CG</v>
      </c>
      <c r="AU113" s="109" t="str">
        <f t="shared" si="15"/>
        <v>B</v>
      </c>
      <c r="AV113" s="110"/>
      <c r="AW113" s="111"/>
    </row>
    <row r="114" spans="1:49" ht="83.25" customHeight="1" thickBot="1" x14ac:dyDescent="0.4">
      <c r="A114" s="186">
        <v>113</v>
      </c>
      <c r="B114" s="2" t="s">
        <v>460</v>
      </c>
      <c r="C114" s="2" t="s">
        <v>461</v>
      </c>
      <c r="D114" s="2" t="s">
        <v>205</v>
      </c>
      <c r="E114" s="2"/>
      <c r="F114" s="80">
        <v>43288</v>
      </c>
      <c r="G114" s="7">
        <v>43308</v>
      </c>
      <c r="H114" s="152">
        <v>0</v>
      </c>
      <c r="I114" s="139">
        <v>0</v>
      </c>
      <c r="J114" s="150">
        <v>0</v>
      </c>
      <c r="K114" s="134">
        <v>0</v>
      </c>
      <c r="L114" s="132">
        <v>20</v>
      </c>
      <c r="M114" s="136">
        <v>6</v>
      </c>
      <c r="N114" s="153">
        <v>0</v>
      </c>
      <c r="O114" s="147">
        <v>0</v>
      </c>
      <c r="P114" s="165">
        <v>0</v>
      </c>
      <c r="Q114" s="187">
        <v>0</v>
      </c>
      <c r="R114" s="74">
        <f t="shared" si="17"/>
        <v>20</v>
      </c>
      <c r="S114" s="75">
        <f t="shared" si="16"/>
        <v>6</v>
      </c>
      <c r="T114" s="8">
        <f t="shared" si="10"/>
        <v>0.3</v>
      </c>
      <c r="U114" s="9">
        <f t="shared" si="11"/>
        <v>26</v>
      </c>
      <c r="V114" s="3"/>
      <c r="W114" s="2"/>
      <c r="X114" s="2"/>
      <c r="Y114" s="2"/>
      <c r="Z114" s="2">
        <v>-4</v>
      </c>
      <c r="AA114" s="2"/>
      <c r="AB114" s="2"/>
      <c r="AC114" s="2"/>
      <c r="AD114" s="2"/>
      <c r="AE114" s="2"/>
      <c r="AF114" s="2" t="s">
        <v>65</v>
      </c>
      <c r="AG114" s="2" t="s">
        <v>653</v>
      </c>
      <c r="AH114" s="2"/>
      <c r="AI114" s="2"/>
      <c r="AJ114" s="212" t="s">
        <v>654</v>
      </c>
      <c r="AK114" s="2" t="s">
        <v>883</v>
      </c>
      <c r="AL114" s="2" t="s">
        <v>462</v>
      </c>
      <c r="AM114" s="48" t="s">
        <v>655</v>
      </c>
      <c r="AN114" s="4">
        <v>630118422</v>
      </c>
      <c r="AO114" s="2" t="s">
        <v>650</v>
      </c>
      <c r="AP114" s="33" t="s">
        <v>51</v>
      </c>
      <c r="AQ114" s="203" t="s">
        <v>656</v>
      </c>
      <c r="AR114" s="6" t="s">
        <v>461</v>
      </c>
      <c r="AS114" s="108" t="s">
        <v>53</v>
      </c>
      <c r="AT114" s="105" t="str">
        <f t="shared" si="14"/>
        <v>CUE</v>
      </c>
      <c r="AU114" s="109" t="str">
        <f t="shared" si="15"/>
        <v>A</v>
      </c>
      <c r="AV114" s="110"/>
      <c r="AW114" s="111"/>
    </row>
    <row r="115" spans="1:49" ht="83.25" customHeight="1" thickBot="1" x14ac:dyDescent="0.4">
      <c r="A115" s="186">
        <v>114</v>
      </c>
      <c r="B115" s="2" t="s">
        <v>657</v>
      </c>
      <c r="C115" s="2" t="s">
        <v>461</v>
      </c>
      <c r="D115" s="2" t="s">
        <v>64</v>
      </c>
      <c r="E115" s="2"/>
      <c r="F115" s="7">
        <v>43288</v>
      </c>
      <c r="G115" s="7">
        <v>43308</v>
      </c>
      <c r="H115" s="128">
        <v>10</v>
      </c>
      <c r="I115" s="133">
        <v>6</v>
      </c>
      <c r="J115" s="129">
        <v>28</v>
      </c>
      <c r="K115" s="30">
        <v>6</v>
      </c>
      <c r="L115" s="135">
        <v>30</v>
      </c>
      <c r="M115" s="32">
        <v>6</v>
      </c>
      <c r="N115" s="146">
        <v>11</v>
      </c>
      <c r="O115" s="193">
        <v>1</v>
      </c>
      <c r="P115" s="19">
        <v>0</v>
      </c>
      <c r="Q115" s="35">
        <v>0</v>
      </c>
      <c r="R115" s="74">
        <f t="shared" si="17"/>
        <v>79</v>
      </c>
      <c r="S115" s="75">
        <f t="shared" si="16"/>
        <v>19</v>
      </c>
      <c r="T115" s="8">
        <f t="shared" si="10"/>
        <v>0.24050632911392406</v>
      </c>
      <c r="U115" s="9">
        <f t="shared" si="11"/>
        <v>98</v>
      </c>
      <c r="V115" s="3">
        <v>-5</v>
      </c>
      <c r="W115" s="2">
        <v>2</v>
      </c>
      <c r="X115" s="2">
        <v>3</v>
      </c>
      <c r="Y115" s="2"/>
      <c r="Z115" s="2">
        <v>-5</v>
      </c>
      <c r="AA115" s="2"/>
      <c r="AB115" s="2">
        <v>1</v>
      </c>
      <c r="AC115" s="2">
        <v>1</v>
      </c>
      <c r="AD115" s="2"/>
      <c r="AE115" s="2"/>
      <c r="AF115" s="2" t="s">
        <v>148</v>
      </c>
      <c r="AG115" s="2" t="s">
        <v>659</v>
      </c>
      <c r="AH115" s="2"/>
      <c r="AI115" s="2"/>
      <c r="AJ115" s="212" t="s">
        <v>906</v>
      </c>
      <c r="AK115" s="2" t="s">
        <v>885</v>
      </c>
      <c r="AL115" s="2" t="s">
        <v>660</v>
      </c>
      <c r="AM115" s="48" t="s">
        <v>661</v>
      </c>
      <c r="AN115" s="4">
        <v>630576466</v>
      </c>
      <c r="AO115" s="2" t="s">
        <v>658</v>
      </c>
      <c r="AP115" s="33" t="s">
        <v>51</v>
      </c>
      <c r="AQ115" s="203" t="s">
        <v>459</v>
      </c>
      <c r="AR115" s="6" t="s">
        <v>54</v>
      </c>
      <c r="AS115" s="108" t="s">
        <v>53</v>
      </c>
      <c r="AT115" s="105" t="str">
        <f t="shared" si="14"/>
        <v>CG</v>
      </c>
      <c r="AU115" s="109" t="str">
        <f t="shared" si="15"/>
        <v>C</v>
      </c>
      <c r="AV115" s="110"/>
      <c r="AW115" s="111"/>
    </row>
    <row r="116" spans="1:49" ht="83.25" customHeight="1" thickBot="1" x14ac:dyDescent="0.4">
      <c r="A116" s="186">
        <v>115</v>
      </c>
      <c r="B116" s="2" t="s">
        <v>662</v>
      </c>
      <c r="C116" s="2" t="s">
        <v>461</v>
      </c>
      <c r="D116" s="2" t="s">
        <v>351</v>
      </c>
      <c r="E116" s="2" t="s">
        <v>664</v>
      </c>
      <c r="F116" s="7">
        <v>43292</v>
      </c>
      <c r="G116" s="7">
        <v>43306</v>
      </c>
      <c r="H116" s="128">
        <v>5</v>
      </c>
      <c r="I116" s="28">
        <v>2</v>
      </c>
      <c r="J116" s="129">
        <v>22</v>
      </c>
      <c r="K116" s="131">
        <v>3</v>
      </c>
      <c r="L116" s="135">
        <v>7</v>
      </c>
      <c r="M116" s="32">
        <v>2</v>
      </c>
      <c r="N116" s="17">
        <v>0</v>
      </c>
      <c r="O116" s="18">
        <v>0</v>
      </c>
      <c r="P116" s="19">
        <v>0</v>
      </c>
      <c r="Q116" s="127">
        <v>3</v>
      </c>
      <c r="R116" s="74">
        <f t="shared" si="17"/>
        <v>34</v>
      </c>
      <c r="S116" s="75">
        <f t="shared" si="16"/>
        <v>10</v>
      </c>
      <c r="T116" s="8">
        <f t="shared" si="10"/>
        <v>0.29411764705882354</v>
      </c>
      <c r="U116" s="9">
        <f t="shared" si="11"/>
        <v>44</v>
      </c>
      <c r="V116" s="3">
        <v>-7</v>
      </c>
      <c r="W116" s="2"/>
      <c r="X116" s="2">
        <v>10</v>
      </c>
      <c r="Y116" s="2">
        <v>1</v>
      </c>
      <c r="Z116" s="2">
        <v>-5</v>
      </c>
      <c r="AA116" s="2"/>
      <c r="AB116" s="2"/>
      <c r="AC116" s="2"/>
      <c r="AD116" s="2"/>
      <c r="AE116" s="2">
        <v>3</v>
      </c>
      <c r="AF116" s="2" t="s">
        <v>148</v>
      </c>
      <c r="AG116" s="2" t="s">
        <v>665</v>
      </c>
      <c r="AH116" s="2"/>
      <c r="AI116" s="2"/>
      <c r="AJ116" s="212" t="s">
        <v>666</v>
      </c>
      <c r="AK116" s="2" t="s">
        <v>886</v>
      </c>
      <c r="AL116" s="2" t="s">
        <v>667</v>
      </c>
      <c r="AM116" s="48" t="s">
        <v>738</v>
      </c>
      <c r="AN116" s="4">
        <v>608633435</v>
      </c>
      <c r="AO116" s="2" t="s">
        <v>663</v>
      </c>
      <c r="AP116" s="33" t="s">
        <v>51</v>
      </c>
      <c r="AQ116" s="203" t="s">
        <v>51</v>
      </c>
      <c r="AR116" s="6" t="s">
        <v>461</v>
      </c>
      <c r="AS116" s="108" t="s">
        <v>53</v>
      </c>
      <c r="AT116" s="105" t="str">
        <f t="shared" si="14"/>
        <v>CGG</v>
      </c>
      <c r="AU116" s="109" t="str">
        <f t="shared" si="15"/>
        <v>B</v>
      </c>
      <c r="AV116" s="110"/>
      <c r="AW116" s="111"/>
    </row>
    <row r="117" spans="1:49" ht="83.25" customHeight="1" thickBot="1" x14ac:dyDescent="0.4">
      <c r="A117" s="186">
        <v>116</v>
      </c>
      <c r="B117" s="2" t="s">
        <v>238</v>
      </c>
      <c r="C117" s="2" t="s">
        <v>238</v>
      </c>
      <c r="D117" s="2" t="s">
        <v>669</v>
      </c>
      <c r="E117" s="2"/>
      <c r="F117" s="7">
        <v>43331</v>
      </c>
      <c r="G117" s="7">
        <v>43337</v>
      </c>
      <c r="H117" s="128">
        <v>2</v>
      </c>
      <c r="I117" s="28">
        <v>2</v>
      </c>
      <c r="J117" s="129">
        <v>14</v>
      </c>
      <c r="K117" s="30">
        <v>3</v>
      </c>
      <c r="L117" s="31">
        <v>0</v>
      </c>
      <c r="M117" s="32">
        <v>0</v>
      </c>
      <c r="N117" s="17">
        <v>0</v>
      </c>
      <c r="O117" s="18">
        <v>0</v>
      </c>
      <c r="P117" s="19">
        <v>0</v>
      </c>
      <c r="Q117" s="35">
        <v>2</v>
      </c>
      <c r="R117" s="74">
        <f t="shared" si="17"/>
        <v>16</v>
      </c>
      <c r="S117" s="75">
        <f t="shared" si="16"/>
        <v>7</v>
      </c>
      <c r="T117" s="8">
        <f t="shared" si="10"/>
        <v>0.4375</v>
      </c>
      <c r="U117" s="9">
        <f t="shared" si="11"/>
        <v>23</v>
      </c>
      <c r="V117" s="3">
        <v>-8</v>
      </c>
      <c r="W117" s="2"/>
      <c r="X117" s="2">
        <v>4</v>
      </c>
      <c r="Y117" s="2"/>
      <c r="Z117" s="2"/>
      <c r="AA117" s="2"/>
      <c r="AB117" s="2"/>
      <c r="AC117" s="2"/>
      <c r="AD117" s="2"/>
      <c r="AE117" s="2"/>
      <c r="AF117" s="2" t="s">
        <v>148</v>
      </c>
      <c r="AG117" s="2" t="s">
        <v>670</v>
      </c>
      <c r="AH117" s="2"/>
      <c r="AI117" s="2"/>
      <c r="AJ117" s="212" t="s">
        <v>915</v>
      </c>
      <c r="AK117" s="2" t="s">
        <v>885</v>
      </c>
      <c r="AL117" s="2" t="s">
        <v>671</v>
      </c>
      <c r="AM117" s="48" t="s">
        <v>672</v>
      </c>
      <c r="AN117" s="4" t="s">
        <v>673</v>
      </c>
      <c r="AO117" s="2" t="s">
        <v>668</v>
      </c>
      <c r="AP117" s="33" t="s">
        <v>122</v>
      </c>
      <c r="AQ117" s="203" t="s">
        <v>674</v>
      </c>
      <c r="AR117" s="6" t="s">
        <v>238</v>
      </c>
      <c r="AS117" s="108" t="s">
        <v>675</v>
      </c>
      <c r="AT117" s="105" t="str">
        <f t="shared" si="14"/>
        <v>RO</v>
      </c>
      <c r="AU117" s="109" t="str">
        <f t="shared" si="15"/>
        <v>A</v>
      </c>
      <c r="AV117" s="110"/>
      <c r="AW117" s="111"/>
    </row>
    <row r="118" spans="1:49" ht="83.25" customHeight="1" thickBot="1" x14ac:dyDescent="0.4">
      <c r="A118" s="186">
        <v>117</v>
      </c>
      <c r="B118" s="2" t="s">
        <v>238</v>
      </c>
      <c r="C118" s="2" t="s">
        <v>238</v>
      </c>
      <c r="D118" s="2" t="s">
        <v>669</v>
      </c>
      <c r="E118" s="2"/>
      <c r="F118" s="7">
        <v>43331</v>
      </c>
      <c r="G118" s="7">
        <v>43337</v>
      </c>
      <c r="H118" s="27">
        <v>0</v>
      </c>
      <c r="I118" s="28">
        <v>0</v>
      </c>
      <c r="J118" s="29">
        <v>0</v>
      </c>
      <c r="K118" s="30">
        <v>0</v>
      </c>
      <c r="L118" s="132">
        <v>18</v>
      </c>
      <c r="M118" s="148">
        <v>3</v>
      </c>
      <c r="N118" s="17">
        <v>0</v>
      </c>
      <c r="O118" s="18">
        <v>0</v>
      </c>
      <c r="P118" s="19">
        <v>0</v>
      </c>
      <c r="Q118" s="138">
        <v>2</v>
      </c>
      <c r="R118" s="74">
        <f t="shared" si="17"/>
        <v>18</v>
      </c>
      <c r="S118" s="75">
        <f t="shared" si="16"/>
        <v>5</v>
      </c>
      <c r="T118" s="8">
        <f t="shared" si="10"/>
        <v>0.27777777777777779</v>
      </c>
      <c r="U118" s="9">
        <f t="shared" si="11"/>
        <v>23</v>
      </c>
      <c r="V118" s="3"/>
      <c r="W118" s="2"/>
      <c r="X118" s="2"/>
      <c r="Y118" s="2"/>
      <c r="Z118" s="2">
        <v>-3</v>
      </c>
      <c r="AA118" s="2">
        <v>-1</v>
      </c>
      <c r="AB118" s="2"/>
      <c r="AC118" s="2"/>
      <c r="AD118" s="2"/>
      <c r="AE118" s="2"/>
      <c r="AF118" s="2" t="s">
        <v>148</v>
      </c>
      <c r="AG118" s="2" t="s">
        <v>670</v>
      </c>
      <c r="AH118" s="2"/>
      <c r="AI118" s="2"/>
      <c r="AJ118" s="212" t="s">
        <v>915</v>
      </c>
      <c r="AK118" s="2" t="s">
        <v>885</v>
      </c>
      <c r="AL118" s="2" t="s">
        <v>676</v>
      </c>
      <c r="AM118" s="48" t="s">
        <v>677</v>
      </c>
      <c r="AN118" s="4" t="s">
        <v>678</v>
      </c>
      <c r="AO118" s="2" t="s">
        <v>668</v>
      </c>
      <c r="AP118" s="33" t="s">
        <v>122</v>
      </c>
      <c r="AQ118" s="203" t="s">
        <v>674</v>
      </c>
      <c r="AR118" s="6" t="s">
        <v>238</v>
      </c>
      <c r="AS118" s="108" t="s">
        <v>675</v>
      </c>
      <c r="AT118" s="105" t="str">
        <f t="shared" si="14"/>
        <v>RO</v>
      </c>
      <c r="AU118" s="109" t="str">
        <f t="shared" si="15"/>
        <v>A</v>
      </c>
      <c r="AV118" s="110"/>
      <c r="AW118" s="111"/>
    </row>
    <row r="119" spans="1:49" ht="83.25" customHeight="1" thickBot="1" x14ac:dyDescent="0.4">
      <c r="A119" s="186">
        <v>118</v>
      </c>
      <c r="B119" s="2" t="s">
        <v>238</v>
      </c>
      <c r="C119" s="2" t="s">
        <v>238</v>
      </c>
      <c r="D119" s="2" t="s">
        <v>669</v>
      </c>
      <c r="E119" s="2"/>
      <c r="F119" s="7">
        <v>43316</v>
      </c>
      <c r="G119" s="7">
        <v>43330</v>
      </c>
      <c r="H119" s="152">
        <v>10</v>
      </c>
      <c r="I119" s="139">
        <v>2</v>
      </c>
      <c r="J119" s="150">
        <v>14</v>
      </c>
      <c r="K119" s="143">
        <v>2</v>
      </c>
      <c r="L119" s="31">
        <v>0</v>
      </c>
      <c r="M119" s="32">
        <v>0</v>
      </c>
      <c r="N119" s="17">
        <v>0</v>
      </c>
      <c r="O119" s="18">
        <v>0</v>
      </c>
      <c r="P119" s="19">
        <v>0</v>
      </c>
      <c r="Q119" s="138">
        <v>2</v>
      </c>
      <c r="R119" s="74">
        <f t="shared" si="17"/>
        <v>24</v>
      </c>
      <c r="S119" s="75">
        <f t="shared" si="16"/>
        <v>6</v>
      </c>
      <c r="T119" s="8">
        <f t="shared" si="10"/>
        <v>0.25</v>
      </c>
      <c r="U119" s="9">
        <f t="shared" si="11"/>
        <v>30</v>
      </c>
      <c r="V119" s="3"/>
      <c r="W119" s="2"/>
      <c r="X119" s="2"/>
      <c r="Y119" s="2">
        <v>-1</v>
      </c>
      <c r="Z119" s="2"/>
      <c r="AA119" s="2"/>
      <c r="AB119" s="2"/>
      <c r="AC119" s="2"/>
      <c r="AD119" s="2"/>
      <c r="AE119" s="2"/>
      <c r="AF119" s="2" t="s">
        <v>148</v>
      </c>
      <c r="AG119" s="2" t="s">
        <v>679</v>
      </c>
      <c r="AH119" s="2"/>
      <c r="AI119" s="2"/>
      <c r="AJ119" s="212" t="s">
        <v>680</v>
      </c>
      <c r="AK119" s="2" t="s">
        <v>883</v>
      </c>
      <c r="AL119" s="2" t="s">
        <v>681</v>
      </c>
      <c r="AM119" s="48" t="s">
        <v>682</v>
      </c>
      <c r="AN119" s="4" t="s">
        <v>683</v>
      </c>
      <c r="AO119" s="2" t="s">
        <v>668</v>
      </c>
      <c r="AP119" s="33" t="s">
        <v>122</v>
      </c>
      <c r="AQ119" s="203" t="s">
        <v>684</v>
      </c>
      <c r="AR119" s="6" t="s">
        <v>238</v>
      </c>
      <c r="AS119" s="108" t="s">
        <v>675</v>
      </c>
      <c r="AT119" s="105" t="str">
        <f t="shared" si="14"/>
        <v>RO</v>
      </c>
      <c r="AU119" s="109" t="str">
        <f t="shared" si="15"/>
        <v>B</v>
      </c>
      <c r="AV119" s="110"/>
      <c r="AW119" s="111"/>
    </row>
    <row r="120" spans="1:49" ht="83.25" customHeight="1" thickBot="1" x14ac:dyDescent="0.4">
      <c r="A120" s="186">
        <v>119</v>
      </c>
      <c r="B120" s="2" t="s">
        <v>238</v>
      </c>
      <c r="C120" s="2" t="s">
        <v>238</v>
      </c>
      <c r="D120" s="2" t="s">
        <v>669</v>
      </c>
      <c r="E120" s="2"/>
      <c r="F120" s="7">
        <v>43316</v>
      </c>
      <c r="G120" s="7">
        <v>43330</v>
      </c>
      <c r="H120" s="27">
        <v>0</v>
      </c>
      <c r="I120" s="28">
        <v>0</v>
      </c>
      <c r="J120" s="29">
        <v>0</v>
      </c>
      <c r="K120" s="30">
        <v>0</v>
      </c>
      <c r="L120" s="135">
        <v>13</v>
      </c>
      <c r="M120" s="194">
        <v>2</v>
      </c>
      <c r="N120" s="17">
        <v>0</v>
      </c>
      <c r="O120" s="18">
        <v>0</v>
      </c>
      <c r="P120" s="19">
        <v>0</v>
      </c>
      <c r="Q120" s="35">
        <v>2</v>
      </c>
      <c r="R120" s="74">
        <f t="shared" si="17"/>
        <v>13</v>
      </c>
      <c r="S120" s="75">
        <f t="shared" si="16"/>
        <v>4</v>
      </c>
      <c r="T120" s="8">
        <f t="shared" si="10"/>
        <v>0.30769230769230771</v>
      </c>
      <c r="U120" s="9">
        <f t="shared" si="11"/>
        <v>17</v>
      </c>
      <c r="V120" s="3"/>
      <c r="W120" s="2"/>
      <c r="X120" s="2"/>
      <c r="Y120" s="2"/>
      <c r="Z120" s="2">
        <v>-8</v>
      </c>
      <c r="AA120" s="2">
        <v>-2</v>
      </c>
      <c r="AB120" s="2"/>
      <c r="AC120" s="2"/>
      <c r="AD120" s="2"/>
      <c r="AE120" s="2"/>
      <c r="AF120" s="2" t="s">
        <v>148</v>
      </c>
      <c r="AG120" s="2" t="s">
        <v>679</v>
      </c>
      <c r="AH120" s="2"/>
      <c r="AI120" s="2"/>
      <c r="AJ120" s="212" t="s">
        <v>680</v>
      </c>
      <c r="AK120" s="2" t="s">
        <v>883</v>
      </c>
      <c r="AL120" s="2" t="s">
        <v>685</v>
      </c>
      <c r="AM120" s="48" t="s">
        <v>686</v>
      </c>
      <c r="AN120" s="4" t="s">
        <v>687</v>
      </c>
      <c r="AO120" s="2" t="s">
        <v>668</v>
      </c>
      <c r="AP120" s="33" t="s">
        <v>122</v>
      </c>
      <c r="AQ120" s="203" t="s">
        <v>684</v>
      </c>
      <c r="AR120" s="6" t="s">
        <v>238</v>
      </c>
      <c r="AS120" s="108" t="s">
        <v>675</v>
      </c>
      <c r="AT120" s="105" t="str">
        <f t="shared" si="14"/>
        <v>RO</v>
      </c>
      <c r="AU120" s="109" t="str">
        <f t="shared" si="15"/>
        <v>A</v>
      </c>
      <c r="AV120" s="110"/>
      <c r="AW120" s="111"/>
    </row>
    <row r="121" spans="1:49" s="12" customFormat="1" ht="83.25" customHeight="1" thickBot="1" x14ac:dyDescent="0.4">
      <c r="A121" s="186">
        <v>120</v>
      </c>
      <c r="B121" s="2" t="s">
        <v>238</v>
      </c>
      <c r="C121" s="2" t="s">
        <v>238</v>
      </c>
      <c r="D121" s="2" t="s">
        <v>669</v>
      </c>
      <c r="E121" s="2"/>
      <c r="F121" s="7">
        <v>43323</v>
      </c>
      <c r="G121" s="7">
        <v>43337</v>
      </c>
      <c r="H121" s="142">
        <v>4</v>
      </c>
      <c r="I121" s="139">
        <v>2</v>
      </c>
      <c r="J121" s="129">
        <v>17</v>
      </c>
      <c r="K121" s="143">
        <v>2</v>
      </c>
      <c r="L121" s="31">
        <v>0</v>
      </c>
      <c r="M121" s="32">
        <v>0</v>
      </c>
      <c r="N121" s="17">
        <v>0</v>
      </c>
      <c r="O121" s="18">
        <v>0</v>
      </c>
      <c r="P121" s="19">
        <v>0</v>
      </c>
      <c r="Q121" s="144">
        <v>0</v>
      </c>
      <c r="R121" s="74">
        <f t="shared" si="17"/>
        <v>21</v>
      </c>
      <c r="S121" s="75">
        <f t="shared" si="16"/>
        <v>4</v>
      </c>
      <c r="T121" s="8">
        <f t="shared" si="10"/>
        <v>0.19047619047619047</v>
      </c>
      <c r="U121" s="9">
        <f t="shared" si="11"/>
        <v>25</v>
      </c>
      <c r="V121" s="3">
        <v>-6</v>
      </c>
      <c r="W121" s="2"/>
      <c r="X121" s="2">
        <v>3</v>
      </c>
      <c r="Y121" s="2">
        <v>-1</v>
      </c>
      <c r="Z121" s="2"/>
      <c r="AA121" s="2"/>
      <c r="AB121" s="2"/>
      <c r="AC121" s="2"/>
      <c r="AD121" s="2"/>
      <c r="AE121" s="2">
        <v>-2</v>
      </c>
      <c r="AF121" s="2" t="s">
        <v>65</v>
      </c>
      <c r="AG121" s="2" t="s">
        <v>688</v>
      </c>
      <c r="AH121" s="2"/>
      <c r="AI121" s="2"/>
      <c r="AJ121" s="212" t="s">
        <v>689</v>
      </c>
      <c r="AK121" s="2" t="s">
        <v>883</v>
      </c>
      <c r="AL121" s="2" t="s">
        <v>690</v>
      </c>
      <c r="AM121" s="48" t="s">
        <v>691</v>
      </c>
      <c r="AN121" s="4" t="s">
        <v>692</v>
      </c>
      <c r="AO121" s="2" t="s">
        <v>668</v>
      </c>
      <c r="AP121" s="33" t="s">
        <v>122</v>
      </c>
      <c r="AQ121" s="203" t="s">
        <v>693</v>
      </c>
      <c r="AR121" s="6" t="s">
        <v>238</v>
      </c>
      <c r="AS121" s="108" t="s">
        <v>675</v>
      </c>
      <c r="AT121" s="105" t="str">
        <f t="shared" si="14"/>
        <v>RO</v>
      </c>
      <c r="AU121" s="109" t="str">
        <f t="shared" si="15"/>
        <v>B</v>
      </c>
      <c r="AV121" s="110"/>
      <c r="AW121" s="111"/>
    </row>
    <row r="122" spans="1:49" ht="83.25" customHeight="1" thickBot="1" x14ac:dyDescent="0.4">
      <c r="A122" s="186">
        <v>121</v>
      </c>
      <c r="B122" s="2" t="s">
        <v>694</v>
      </c>
      <c r="C122" s="2" t="s">
        <v>238</v>
      </c>
      <c r="D122" s="2" t="s">
        <v>669</v>
      </c>
      <c r="E122" s="2"/>
      <c r="F122" s="7">
        <v>43289</v>
      </c>
      <c r="G122" s="7">
        <v>43301</v>
      </c>
      <c r="H122" s="128">
        <v>3</v>
      </c>
      <c r="I122" s="28">
        <v>1</v>
      </c>
      <c r="J122" s="29">
        <v>8</v>
      </c>
      <c r="K122" s="125">
        <v>3</v>
      </c>
      <c r="L122" s="126">
        <v>20</v>
      </c>
      <c r="M122" s="32">
        <v>4</v>
      </c>
      <c r="N122" s="189">
        <v>6</v>
      </c>
      <c r="O122" s="18">
        <v>1</v>
      </c>
      <c r="P122" s="19">
        <v>0</v>
      </c>
      <c r="Q122" s="127">
        <v>3</v>
      </c>
      <c r="R122" s="74">
        <f t="shared" si="17"/>
        <v>37</v>
      </c>
      <c r="S122" s="75">
        <f t="shared" si="16"/>
        <v>12</v>
      </c>
      <c r="T122" s="8">
        <f t="shared" si="10"/>
        <v>0.32432432432432434</v>
      </c>
      <c r="U122" s="9">
        <f t="shared" si="11"/>
        <v>49</v>
      </c>
      <c r="V122" s="3">
        <v>-1</v>
      </c>
      <c r="W122" s="2">
        <v>0</v>
      </c>
      <c r="X122" s="2">
        <v>0</v>
      </c>
      <c r="Y122" s="2">
        <v>-1</v>
      </c>
      <c r="Z122" s="2">
        <v>3</v>
      </c>
      <c r="AA122" s="2">
        <v>0</v>
      </c>
      <c r="AB122" s="2">
        <v>-2</v>
      </c>
      <c r="AC122" s="2">
        <v>0</v>
      </c>
      <c r="AD122" s="2"/>
      <c r="AE122" s="2">
        <v>3</v>
      </c>
      <c r="AF122" s="2" t="s">
        <v>148</v>
      </c>
      <c r="AG122" s="2" t="s">
        <v>698</v>
      </c>
      <c r="AH122" s="2"/>
      <c r="AI122" s="2"/>
      <c r="AJ122" s="212" t="s">
        <v>915</v>
      </c>
      <c r="AK122" s="2" t="s">
        <v>885</v>
      </c>
      <c r="AL122" s="2" t="s">
        <v>695</v>
      </c>
      <c r="AM122" s="48" t="s">
        <v>696</v>
      </c>
      <c r="AN122" s="4">
        <v>612120087</v>
      </c>
      <c r="AO122" s="2" t="s">
        <v>668</v>
      </c>
      <c r="AP122" s="33" t="s">
        <v>51</v>
      </c>
      <c r="AQ122" s="203" t="s">
        <v>674</v>
      </c>
      <c r="AR122" s="6" t="s">
        <v>238</v>
      </c>
      <c r="AS122" s="108" t="s">
        <v>675</v>
      </c>
      <c r="AT122" s="105" t="str">
        <f t="shared" si="14"/>
        <v>RO</v>
      </c>
      <c r="AU122" s="109" t="str">
        <f t="shared" si="15"/>
        <v>B</v>
      </c>
      <c r="AV122" s="110"/>
      <c r="AW122" s="111"/>
    </row>
    <row r="123" spans="1:49" ht="83.25" customHeight="1" thickBot="1" x14ac:dyDescent="0.4">
      <c r="A123" s="186">
        <v>122</v>
      </c>
      <c r="B123" s="2" t="s">
        <v>699</v>
      </c>
      <c r="C123" s="2" t="s">
        <v>238</v>
      </c>
      <c r="D123" s="2" t="s">
        <v>64</v>
      </c>
      <c r="E123" s="2"/>
      <c r="F123" s="7">
        <v>43288</v>
      </c>
      <c r="G123" s="7">
        <v>43306</v>
      </c>
      <c r="H123" s="27">
        <v>0</v>
      </c>
      <c r="I123" s="28">
        <v>0</v>
      </c>
      <c r="J123" s="29">
        <v>0</v>
      </c>
      <c r="K123" s="30">
        <v>0</v>
      </c>
      <c r="L123" s="166">
        <v>27</v>
      </c>
      <c r="M123" s="136">
        <v>4</v>
      </c>
      <c r="N123" s="153">
        <v>4</v>
      </c>
      <c r="O123" s="147">
        <v>1</v>
      </c>
      <c r="P123" s="19">
        <v>0</v>
      </c>
      <c r="Q123" s="138">
        <v>3</v>
      </c>
      <c r="R123" s="74">
        <f t="shared" si="17"/>
        <v>31</v>
      </c>
      <c r="S123" s="75">
        <f t="shared" si="16"/>
        <v>8</v>
      </c>
      <c r="T123" s="8">
        <f t="shared" si="10"/>
        <v>0.25806451612903225</v>
      </c>
      <c r="U123" s="9">
        <f t="shared" si="11"/>
        <v>39</v>
      </c>
      <c r="V123" s="3"/>
      <c r="W123" s="2"/>
      <c r="X123" s="2"/>
      <c r="Y123" s="2"/>
      <c r="Z123" s="2"/>
      <c r="AA123" s="2"/>
      <c r="AB123" s="2"/>
      <c r="AC123" s="2"/>
      <c r="AD123" s="2"/>
      <c r="AE123" s="2"/>
      <c r="AF123" s="2" t="s">
        <v>148</v>
      </c>
      <c r="AG123" s="2" t="s">
        <v>700</v>
      </c>
      <c r="AH123" s="2"/>
      <c r="AI123" s="2"/>
      <c r="AJ123" s="212" t="s">
        <v>701</v>
      </c>
      <c r="AK123" s="2" t="s">
        <v>883</v>
      </c>
      <c r="AL123" s="2" t="s">
        <v>668</v>
      </c>
      <c r="AM123" s="48" t="s">
        <v>702</v>
      </c>
      <c r="AN123" s="4">
        <v>689845770</v>
      </c>
      <c r="AO123" s="2" t="s">
        <v>668</v>
      </c>
      <c r="AP123" s="33" t="s">
        <v>51</v>
      </c>
      <c r="AQ123" s="203" t="s">
        <v>703</v>
      </c>
      <c r="AR123" s="6" t="s">
        <v>238</v>
      </c>
      <c r="AS123" s="108" t="s">
        <v>53</v>
      </c>
      <c r="AT123" s="105" t="str">
        <f t="shared" si="14"/>
        <v>CG</v>
      </c>
      <c r="AU123" s="109" t="str">
        <f t="shared" si="15"/>
        <v>B</v>
      </c>
      <c r="AV123" s="110"/>
      <c r="AW123" s="111"/>
    </row>
    <row r="124" spans="1:49" ht="83.25" customHeight="1" thickBot="1" x14ac:dyDescent="0.4">
      <c r="A124" s="186">
        <v>123</v>
      </c>
      <c r="B124" s="2" t="s">
        <v>704</v>
      </c>
      <c r="C124" s="3" t="s">
        <v>238</v>
      </c>
      <c r="D124" s="2" t="s">
        <v>351</v>
      </c>
      <c r="E124" s="2" t="s">
        <v>699</v>
      </c>
      <c r="F124" s="7">
        <v>43288</v>
      </c>
      <c r="G124" s="7">
        <v>43302</v>
      </c>
      <c r="H124" s="128">
        <v>5</v>
      </c>
      <c r="I124" s="188">
        <v>2</v>
      </c>
      <c r="J124" s="129">
        <v>27</v>
      </c>
      <c r="K124" s="131">
        <v>5</v>
      </c>
      <c r="L124" s="31">
        <v>0</v>
      </c>
      <c r="M124" s="32">
        <v>0</v>
      </c>
      <c r="N124" s="17">
        <v>0</v>
      </c>
      <c r="O124" s="18">
        <v>0</v>
      </c>
      <c r="P124" s="19">
        <v>0</v>
      </c>
      <c r="Q124" s="140">
        <v>2</v>
      </c>
      <c r="R124" s="74">
        <f t="shared" si="17"/>
        <v>32</v>
      </c>
      <c r="S124" s="75">
        <f t="shared" si="16"/>
        <v>9</v>
      </c>
      <c r="T124" s="8">
        <f t="shared" si="10"/>
        <v>0.28125</v>
      </c>
      <c r="U124" s="9">
        <f t="shared" si="11"/>
        <v>41</v>
      </c>
      <c r="V124" s="3">
        <v>-7</v>
      </c>
      <c r="W124" s="2">
        <v>-1</v>
      </c>
      <c r="X124" s="2">
        <v>7</v>
      </c>
      <c r="Y124" s="2">
        <v>1</v>
      </c>
      <c r="Z124" s="2"/>
      <c r="AA124" s="2"/>
      <c r="AB124" s="2"/>
      <c r="AC124" s="2"/>
      <c r="AD124" s="2"/>
      <c r="AE124" s="2">
        <v>-1</v>
      </c>
      <c r="AF124" s="2" t="s">
        <v>148</v>
      </c>
      <c r="AG124" s="2" t="s">
        <v>706</v>
      </c>
      <c r="AH124" s="2"/>
      <c r="AI124" s="2"/>
      <c r="AJ124" s="212" t="s">
        <v>707</v>
      </c>
      <c r="AK124" s="2" t="s">
        <v>882</v>
      </c>
      <c r="AL124" s="2" t="s">
        <v>708</v>
      </c>
      <c r="AM124" s="48" t="s">
        <v>705</v>
      </c>
      <c r="AN124" s="4">
        <v>682752984</v>
      </c>
      <c r="AO124" s="2" t="s">
        <v>668</v>
      </c>
      <c r="AP124" s="33" t="s">
        <v>51</v>
      </c>
      <c r="AQ124" s="203" t="s">
        <v>471</v>
      </c>
      <c r="AR124" s="6" t="s">
        <v>420</v>
      </c>
      <c r="AS124" s="108" t="s">
        <v>53</v>
      </c>
      <c r="AT124" s="105" t="str">
        <f t="shared" si="14"/>
        <v>CGG</v>
      </c>
      <c r="AU124" s="109" t="str">
        <f t="shared" si="15"/>
        <v>B</v>
      </c>
      <c r="AV124" s="110"/>
      <c r="AW124" s="111"/>
    </row>
    <row r="125" spans="1:49" ht="83.25" customHeight="1" thickBot="1" x14ac:dyDescent="0.4">
      <c r="A125" s="186">
        <v>124</v>
      </c>
      <c r="B125" s="2" t="s">
        <v>709</v>
      </c>
      <c r="C125" s="2" t="s">
        <v>238</v>
      </c>
      <c r="D125" s="2" t="s">
        <v>64</v>
      </c>
      <c r="E125" s="2"/>
      <c r="F125" s="7">
        <v>43288</v>
      </c>
      <c r="G125" s="7">
        <v>43295</v>
      </c>
      <c r="H125" s="27">
        <v>7</v>
      </c>
      <c r="I125" s="28">
        <v>2</v>
      </c>
      <c r="J125" s="29">
        <v>23</v>
      </c>
      <c r="K125" s="30">
        <v>3</v>
      </c>
      <c r="L125" s="31">
        <v>17</v>
      </c>
      <c r="M125" s="32">
        <v>2</v>
      </c>
      <c r="N125" s="17">
        <v>0</v>
      </c>
      <c r="O125" s="18">
        <v>0</v>
      </c>
      <c r="P125" s="19">
        <v>0</v>
      </c>
      <c r="Q125" s="35">
        <v>0</v>
      </c>
      <c r="R125" s="74">
        <f t="shared" si="17"/>
        <v>47</v>
      </c>
      <c r="S125" s="75">
        <f t="shared" si="16"/>
        <v>7</v>
      </c>
      <c r="T125" s="8">
        <f t="shared" si="10"/>
        <v>0.14893617021276595</v>
      </c>
      <c r="U125" s="9">
        <f t="shared" si="11"/>
        <v>54</v>
      </c>
      <c r="V125" s="3"/>
      <c r="W125" s="2"/>
      <c r="X125" s="2"/>
      <c r="Y125" s="2"/>
      <c r="Z125" s="2"/>
      <c r="AA125" s="2"/>
      <c r="AB125" s="2"/>
      <c r="AC125" s="2"/>
      <c r="AD125" s="2"/>
      <c r="AE125" s="2"/>
      <c r="AF125" s="2" t="s">
        <v>148</v>
      </c>
      <c r="AG125" s="2" t="s">
        <v>710</v>
      </c>
      <c r="AH125" s="2"/>
      <c r="AI125" s="2"/>
      <c r="AJ125" s="212" t="s">
        <v>1201</v>
      </c>
      <c r="AK125" s="2" t="s">
        <v>881</v>
      </c>
      <c r="AL125" s="2" t="s">
        <v>711</v>
      </c>
      <c r="AM125" s="48" t="s">
        <v>739</v>
      </c>
      <c r="AN125" s="4">
        <v>633610801</v>
      </c>
      <c r="AO125" s="2" t="s">
        <v>668</v>
      </c>
      <c r="AP125" s="33" t="s">
        <v>51</v>
      </c>
      <c r="AQ125" s="203" t="s">
        <v>712</v>
      </c>
      <c r="AR125" s="6" t="s">
        <v>238</v>
      </c>
      <c r="AS125" s="108" t="s">
        <v>154</v>
      </c>
      <c r="AT125" s="105" t="str">
        <f t="shared" si="14"/>
        <v>CG</v>
      </c>
      <c r="AU125" s="109" t="str">
        <f t="shared" si="15"/>
        <v>B</v>
      </c>
      <c r="AV125" s="110"/>
      <c r="AW125" s="111"/>
    </row>
    <row r="126" spans="1:49" ht="83.25" customHeight="1" thickBot="1" x14ac:dyDescent="0.4">
      <c r="A126" s="186">
        <v>125</v>
      </c>
      <c r="B126" s="2" t="s">
        <v>709</v>
      </c>
      <c r="C126" s="2" t="s">
        <v>238</v>
      </c>
      <c r="D126" s="2" t="s">
        <v>64</v>
      </c>
      <c r="E126" s="2"/>
      <c r="F126" s="7">
        <v>43302</v>
      </c>
      <c r="G126" s="7">
        <v>43309</v>
      </c>
      <c r="H126" s="27">
        <v>4</v>
      </c>
      <c r="I126" s="28">
        <v>1</v>
      </c>
      <c r="J126" s="29">
        <v>4</v>
      </c>
      <c r="K126" s="30">
        <v>1</v>
      </c>
      <c r="L126" s="31">
        <v>0</v>
      </c>
      <c r="M126" s="32">
        <v>0</v>
      </c>
      <c r="N126" s="17">
        <v>0</v>
      </c>
      <c r="O126" s="18">
        <v>0</v>
      </c>
      <c r="P126" s="19">
        <v>0</v>
      </c>
      <c r="Q126" s="35">
        <v>0</v>
      </c>
      <c r="R126" s="74">
        <f t="shared" si="17"/>
        <v>8</v>
      </c>
      <c r="S126" s="75">
        <f t="shared" si="16"/>
        <v>2</v>
      </c>
      <c r="T126" s="8">
        <f t="shared" si="10"/>
        <v>0.25</v>
      </c>
      <c r="U126" s="9">
        <f t="shared" si="11"/>
        <v>10</v>
      </c>
      <c r="V126" s="3"/>
      <c r="W126" s="2"/>
      <c r="X126" s="2"/>
      <c r="Y126" s="2"/>
      <c r="Z126" s="2"/>
      <c r="AA126" s="2"/>
      <c r="AB126" s="2"/>
      <c r="AC126" s="2"/>
      <c r="AD126" s="2"/>
      <c r="AE126" s="2"/>
      <c r="AF126" s="2" t="s">
        <v>148</v>
      </c>
      <c r="AG126" s="2" t="s">
        <v>710</v>
      </c>
      <c r="AH126" s="2"/>
      <c r="AI126" s="2"/>
      <c r="AJ126" s="212" t="s">
        <v>1201</v>
      </c>
      <c r="AK126" s="2" t="s">
        <v>881</v>
      </c>
      <c r="AL126" s="2" t="s">
        <v>713</v>
      </c>
      <c r="AM126" s="48" t="s">
        <v>714</v>
      </c>
      <c r="AN126" s="4">
        <v>689669709</v>
      </c>
      <c r="AO126" s="2" t="s">
        <v>668</v>
      </c>
      <c r="AP126" s="33" t="s">
        <v>51</v>
      </c>
      <c r="AQ126" s="203" t="s">
        <v>712</v>
      </c>
      <c r="AR126" s="6" t="s">
        <v>238</v>
      </c>
      <c r="AS126" s="108" t="s">
        <v>154</v>
      </c>
      <c r="AT126" s="105" t="str">
        <f t="shared" si="14"/>
        <v>CG</v>
      </c>
      <c r="AU126" s="109" t="str">
        <f t="shared" si="15"/>
        <v>A</v>
      </c>
      <c r="AV126" s="110"/>
      <c r="AW126" s="111"/>
    </row>
    <row r="127" spans="1:49" ht="83.25" customHeight="1" thickBot="1" x14ac:dyDescent="0.4">
      <c r="A127" s="186">
        <v>126</v>
      </c>
      <c r="B127" s="2" t="s">
        <v>709</v>
      </c>
      <c r="C127" s="2" t="s">
        <v>238</v>
      </c>
      <c r="D127" s="2" t="s">
        <v>64</v>
      </c>
      <c r="E127" s="2"/>
      <c r="F127" s="7">
        <v>43295</v>
      </c>
      <c r="G127" s="7">
        <v>43302</v>
      </c>
      <c r="H127" s="27">
        <v>10</v>
      </c>
      <c r="I127" s="28">
        <v>2</v>
      </c>
      <c r="J127" s="29">
        <v>22</v>
      </c>
      <c r="K127" s="30">
        <v>3</v>
      </c>
      <c r="L127" s="31">
        <v>21</v>
      </c>
      <c r="M127" s="32">
        <v>5</v>
      </c>
      <c r="N127" s="17">
        <v>0</v>
      </c>
      <c r="O127" s="18">
        <v>0</v>
      </c>
      <c r="P127" s="19">
        <v>0</v>
      </c>
      <c r="Q127" s="35">
        <v>0</v>
      </c>
      <c r="R127" s="74">
        <f t="shared" si="17"/>
        <v>53</v>
      </c>
      <c r="S127" s="75">
        <f t="shared" si="16"/>
        <v>10</v>
      </c>
      <c r="T127" s="8">
        <f t="shared" si="10"/>
        <v>0.18867924528301888</v>
      </c>
      <c r="U127" s="9">
        <f t="shared" si="11"/>
        <v>63</v>
      </c>
      <c r="V127" s="3"/>
      <c r="W127" s="2"/>
      <c r="X127" s="2"/>
      <c r="Y127" s="2"/>
      <c r="Z127" s="2"/>
      <c r="AA127" s="2"/>
      <c r="AB127" s="2"/>
      <c r="AC127" s="2"/>
      <c r="AD127" s="2"/>
      <c r="AE127" s="2"/>
      <c r="AF127" s="2" t="s">
        <v>148</v>
      </c>
      <c r="AG127" s="2" t="s">
        <v>710</v>
      </c>
      <c r="AH127" s="2"/>
      <c r="AI127" s="2"/>
      <c r="AJ127" s="212" t="s">
        <v>1201</v>
      </c>
      <c r="AK127" s="2" t="s">
        <v>881</v>
      </c>
      <c r="AL127" s="2" t="s">
        <v>715</v>
      </c>
      <c r="AM127" s="48" t="s">
        <v>716</v>
      </c>
      <c r="AN127" s="4">
        <v>650935021</v>
      </c>
      <c r="AO127" s="2" t="s">
        <v>668</v>
      </c>
      <c r="AP127" s="33" t="s">
        <v>51</v>
      </c>
      <c r="AQ127" s="203" t="s">
        <v>712</v>
      </c>
      <c r="AR127" s="6" t="s">
        <v>238</v>
      </c>
      <c r="AS127" s="108" t="s">
        <v>154</v>
      </c>
      <c r="AT127" s="105" t="str">
        <f t="shared" si="14"/>
        <v>CG</v>
      </c>
      <c r="AU127" s="109" t="str">
        <f t="shared" si="15"/>
        <v>C</v>
      </c>
      <c r="AV127" s="110"/>
      <c r="AW127" s="111"/>
    </row>
    <row r="128" spans="1:49" ht="83.25" customHeight="1" thickBot="1" x14ac:dyDescent="0.4">
      <c r="A128" s="186">
        <v>127</v>
      </c>
      <c r="B128" s="2" t="s">
        <v>717</v>
      </c>
      <c r="C128" s="2" t="s">
        <v>740</v>
      </c>
      <c r="D128" s="2" t="s">
        <v>64</v>
      </c>
      <c r="E128" s="2"/>
      <c r="F128" s="7">
        <v>43311</v>
      </c>
      <c r="G128" s="7">
        <v>43324</v>
      </c>
      <c r="H128" s="152">
        <v>0</v>
      </c>
      <c r="I128" s="139">
        <v>0</v>
      </c>
      <c r="J128" s="145">
        <v>36</v>
      </c>
      <c r="K128" s="143">
        <v>8</v>
      </c>
      <c r="L128" s="126">
        <v>25</v>
      </c>
      <c r="M128" s="130">
        <v>9</v>
      </c>
      <c r="N128" s="17">
        <v>0</v>
      </c>
      <c r="O128" s="18">
        <v>0</v>
      </c>
      <c r="P128" s="19">
        <v>0</v>
      </c>
      <c r="Q128" s="35">
        <v>0</v>
      </c>
      <c r="R128" s="74">
        <f t="shared" si="17"/>
        <v>61</v>
      </c>
      <c r="S128" s="75">
        <f t="shared" si="16"/>
        <v>17</v>
      </c>
      <c r="T128" s="8">
        <f t="shared" si="10"/>
        <v>0.27868852459016391</v>
      </c>
      <c r="U128" s="9">
        <f t="shared" si="11"/>
        <v>78</v>
      </c>
      <c r="V128" s="3"/>
      <c r="W128" s="2"/>
      <c r="X128" s="2">
        <v>-24</v>
      </c>
      <c r="Y128" s="2">
        <v>-2</v>
      </c>
      <c r="Z128" s="2">
        <v>5</v>
      </c>
      <c r="AA128" s="2">
        <v>7</v>
      </c>
      <c r="AB128" s="2"/>
      <c r="AC128" s="2"/>
      <c r="AD128" s="2"/>
      <c r="AE128" s="2"/>
      <c r="AF128" s="2" t="s">
        <v>148</v>
      </c>
      <c r="AG128" s="2" t="s">
        <v>547</v>
      </c>
      <c r="AH128" s="2"/>
      <c r="AI128" s="2"/>
      <c r="AJ128" s="212" t="s">
        <v>911</v>
      </c>
      <c r="AK128" s="2" t="s">
        <v>885</v>
      </c>
      <c r="AL128" s="2" t="s">
        <v>719</v>
      </c>
      <c r="AM128" s="47" t="s">
        <v>720</v>
      </c>
      <c r="AN128" s="4">
        <v>617634973</v>
      </c>
      <c r="AO128" s="2" t="s">
        <v>719</v>
      </c>
      <c r="AP128" s="33" t="s">
        <v>87</v>
      </c>
      <c r="AQ128" s="203" t="s">
        <v>551</v>
      </c>
      <c r="AR128" s="6" t="s">
        <v>119</v>
      </c>
      <c r="AS128" s="108" t="s">
        <v>53</v>
      </c>
      <c r="AT128" s="105" t="str">
        <f t="shared" si="14"/>
        <v>CG</v>
      </c>
      <c r="AU128" s="109" t="str">
        <f t="shared" si="15"/>
        <v>C</v>
      </c>
      <c r="AV128" s="110"/>
      <c r="AW128" s="111"/>
    </row>
    <row r="129" spans="1:49" ht="83.25" customHeight="1" thickBot="1" x14ac:dyDescent="0.4">
      <c r="A129" s="186" t="s">
        <v>718</v>
      </c>
      <c r="B129" s="2" t="s">
        <v>717</v>
      </c>
      <c r="C129" s="2" t="s">
        <v>740</v>
      </c>
      <c r="D129" s="2" t="s">
        <v>64</v>
      </c>
      <c r="E129" s="2"/>
      <c r="F129" s="7">
        <v>43325</v>
      </c>
      <c r="G129" s="7">
        <v>43338</v>
      </c>
      <c r="H129" s="152">
        <v>0</v>
      </c>
      <c r="I129" s="139">
        <v>0</v>
      </c>
      <c r="J129" s="145">
        <v>31</v>
      </c>
      <c r="K129" s="143">
        <v>8</v>
      </c>
      <c r="L129" s="126">
        <v>34</v>
      </c>
      <c r="M129" s="130">
        <v>9</v>
      </c>
      <c r="N129" s="17">
        <v>0</v>
      </c>
      <c r="O129" s="18">
        <v>0</v>
      </c>
      <c r="P129" s="19">
        <v>0</v>
      </c>
      <c r="Q129" s="35">
        <v>0</v>
      </c>
      <c r="R129" s="74">
        <f t="shared" si="17"/>
        <v>65</v>
      </c>
      <c r="S129" s="75">
        <f t="shared" si="16"/>
        <v>17</v>
      </c>
      <c r="T129" s="8">
        <f t="shared" si="10"/>
        <v>0.26153846153846155</v>
      </c>
      <c r="U129" s="9">
        <f t="shared" si="11"/>
        <v>82</v>
      </c>
      <c r="V129" s="3"/>
      <c r="W129" s="2"/>
      <c r="X129" s="2">
        <v>-29</v>
      </c>
      <c r="Y129" s="2">
        <v>-2</v>
      </c>
      <c r="Z129" s="2">
        <v>14</v>
      </c>
      <c r="AA129" s="2">
        <v>7</v>
      </c>
      <c r="AB129" s="2"/>
      <c r="AC129" s="2"/>
      <c r="AD129" s="2"/>
      <c r="AE129" s="2"/>
      <c r="AF129" s="2" t="s">
        <v>148</v>
      </c>
      <c r="AG129" s="2" t="s">
        <v>547</v>
      </c>
      <c r="AH129" s="2"/>
      <c r="AI129" s="2"/>
      <c r="AJ129" s="212" t="s">
        <v>911</v>
      </c>
      <c r="AK129" s="2" t="s">
        <v>885</v>
      </c>
      <c r="AL129" s="2" t="s">
        <v>719</v>
      </c>
      <c r="AM129" s="47" t="s">
        <v>720</v>
      </c>
      <c r="AN129" s="4">
        <v>617634973</v>
      </c>
      <c r="AO129" s="2" t="s">
        <v>719</v>
      </c>
      <c r="AP129" s="33" t="s">
        <v>122</v>
      </c>
      <c r="AQ129" s="203" t="s">
        <v>551</v>
      </c>
      <c r="AR129" s="6" t="s">
        <v>119</v>
      </c>
      <c r="AS129" s="108" t="s">
        <v>53</v>
      </c>
      <c r="AT129" s="105" t="str">
        <f t="shared" si="14"/>
        <v>CG</v>
      </c>
      <c r="AU129" s="109" t="str">
        <f t="shared" si="15"/>
        <v>C</v>
      </c>
      <c r="AV129" s="110"/>
      <c r="AW129" s="111"/>
    </row>
    <row r="130" spans="1:49" ht="83.25" customHeight="1" thickBot="1" x14ac:dyDescent="0.4">
      <c r="A130" s="186">
        <v>128</v>
      </c>
      <c r="B130" s="2" t="s">
        <v>717</v>
      </c>
      <c r="C130" s="2" t="s">
        <v>740</v>
      </c>
      <c r="D130" s="2" t="s">
        <v>64</v>
      </c>
      <c r="E130" s="2"/>
      <c r="F130" s="7">
        <v>43290</v>
      </c>
      <c r="G130" s="7">
        <v>43294</v>
      </c>
      <c r="H130" s="123">
        <v>10</v>
      </c>
      <c r="I130" s="133">
        <v>3</v>
      </c>
      <c r="J130" s="145">
        <v>21</v>
      </c>
      <c r="K130" s="143">
        <v>5</v>
      </c>
      <c r="L130" s="126">
        <v>15</v>
      </c>
      <c r="M130" s="130">
        <v>5</v>
      </c>
      <c r="N130" s="17">
        <v>0</v>
      </c>
      <c r="O130" s="18">
        <v>0</v>
      </c>
      <c r="P130" s="19">
        <v>0</v>
      </c>
      <c r="Q130" s="35">
        <v>0</v>
      </c>
      <c r="R130" s="74">
        <f t="shared" si="17"/>
        <v>46</v>
      </c>
      <c r="S130" s="75">
        <f t="shared" si="16"/>
        <v>13</v>
      </c>
      <c r="T130" s="8">
        <f t="shared" ref="T130:T163" si="18">S130/R130</f>
        <v>0.28260869565217389</v>
      </c>
      <c r="U130" s="9">
        <f t="shared" ref="U130:U163" si="19">R130+S130</f>
        <v>59</v>
      </c>
      <c r="V130" s="3">
        <v>10</v>
      </c>
      <c r="W130" s="2">
        <v>3</v>
      </c>
      <c r="X130" s="2">
        <v>-32</v>
      </c>
      <c r="Y130" s="2">
        <v>-3</v>
      </c>
      <c r="Z130" s="2">
        <v>8</v>
      </c>
      <c r="AA130" s="2">
        <v>4</v>
      </c>
      <c r="AB130" s="2"/>
      <c r="AC130" s="2"/>
      <c r="AD130" s="2"/>
      <c r="AE130" s="2"/>
      <c r="AF130" s="2" t="s">
        <v>65</v>
      </c>
      <c r="AG130" s="2" t="s">
        <v>723</v>
      </c>
      <c r="AH130" s="2"/>
      <c r="AI130" s="2"/>
      <c r="AJ130" s="212" t="s">
        <v>724</v>
      </c>
      <c r="AK130" s="2" t="s">
        <v>883</v>
      </c>
      <c r="AL130" s="2" t="s">
        <v>725</v>
      </c>
      <c r="AM130" s="48" t="s">
        <v>866</v>
      </c>
      <c r="AN130" s="4">
        <v>684906219</v>
      </c>
      <c r="AO130" s="2" t="s">
        <v>719</v>
      </c>
      <c r="AP130" s="33" t="s">
        <v>51</v>
      </c>
      <c r="AQ130" s="203" t="s">
        <v>726</v>
      </c>
      <c r="AR130" s="6" t="s">
        <v>119</v>
      </c>
      <c r="AS130" s="108" t="s">
        <v>53</v>
      </c>
      <c r="AT130" s="105" t="str">
        <f t="shared" si="14"/>
        <v>CG</v>
      </c>
      <c r="AU130" s="109" t="str">
        <f t="shared" ref="AU130:AU163" si="20">IF(R130&lt;=20,"A",IF(AND(R130&gt;=21,R130&lt;=50),"B",IF(AND(R130&gt;=51,R130&lt;=80),"C",IF(R130&gt;80,"D"))))</f>
        <v>B</v>
      </c>
      <c r="AV130" s="110"/>
      <c r="AW130" s="111"/>
    </row>
    <row r="131" spans="1:49" ht="83.25" customHeight="1" thickBot="1" x14ac:dyDescent="0.4">
      <c r="A131" s="186" t="s">
        <v>721</v>
      </c>
      <c r="B131" s="2" t="s">
        <v>717</v>
      </c>
      <c r="C131" s="2" t="s">
        <v>740</v>
      </c>
      <c r="D131" s="2" t="s">
        <v>64</v>
      </c>
      <c r="E131" s="2"/>
      <c r="F131" s="7">
        <v>43297</v>
      </c>
      <c r="G131" s="7">
        <v>43301</v>
      </c>
      <c r="H131" s="123">
        <v>8</v>
      </c>
      <c r="I131" s="133">
        <v>3</v>
      </c>
      <c r="J131" s="145">
        <v>19</v>
      </c>
      <c r="K131" s="143">
        <v>5</v>
      </c>
      <c r="L131" s="126">
        <v>21</v>
      </c>
      <c r="M131" s="130">
        <v>5</v>
      </c>
      <c r="N131" s="17">
        <v>0</v>
      </c>
      <c r="O131" s="18">
        <v>0</v>
      </c>
      <c r="P131" s="19">
        <v>0</v>
      </c>
      <c r="Q131" s="35">
        <v>0</v>
      </c>
      <c r="R131" s="74">
        <f t="shared" si="17"/>
        <v>48</v>
      </c>
      <c r="S131" s="75">
        <f t="shared" si="16"/>
        <v>13</v>
      </c>
      <c r="T131" s="8">
        <f t="shared" si="18"/>
        <v>0.27083333333333331</v>
      </c>
      <c r="U131" s="9">
        <f t="shared" si="19"/>
        <v>61</v>
      </c>
      <c r="V131" s="3">
        <v>8</v>
      </c>
      <c r="W131" s="2">
        <v>3</v>
      </c>
      <c r="X131" s="2">
        <v>-26</v>
      </c>
      <c r="Y131" s="2">
        <v>-3</v>
      </c>
      <c r="Z131" s="2">
        <v>14</v>
      </c>
      <c r="AA131" s="2">
        <v>4</v>
      </c>
      <c r="AB131" s="2"/>
      <c r="AC131" s="2"/>
      <c r="AD131" s="2"/>
      <c r="AE131" s="2"/>
      <c r="AF131" s="2" t="s">
        <v>65</v>
      </c>
      <c r="AG131" s="2" t="s">
        <v>723</v>
      </c>
      <c r="AH131" s="2"/>
      <c r="AI131" s="2"/>
      <c r="AJ131" s="212" t="s">
        <v>724</v>
      </c>
      <c r="AK131" s="2" t="s">
        <v>883</v>
      </c>
      <c r="AL131" s="2" t="s">
        <v>725</v>
      </c>
      <c r="AM131" s="48" t="s">
        <v>866</v>
      </c>
      <c r="AN131" s="4">
        <v>684906219</v>
      </c>
      <c r="AO131" s="2" t="s">
        <v>719</v>
      </c>
      <c r="AP131" s="33" t="s">
        <v>51</v>
      </c>
      <c r="AQ131" s="203" t="s">
        <v>726</v>
      </c>
      <c r="AR131" s="6" t="s">
        <v>119</v>
      </c>
      <c r="AS131" s="108" t="s">
        <v>53</v>
      </c>
      <c r="AT131" s="105" t="str">
        <f t="shared" ref="AT131:AT158" si="21">IF(D131="Camp d'unité Ainés","CUA",IF(D131="camp d'unité éclés","CUE",IF(D131="Camp d'unité louveteaux","CULO",IF(D131="Camp d'unité lutins","CULI",IF(D131="Camp de groupe","CG",IF(D131="Camp régional","CR",IF(D131="Camp de regroupement","CGG",IF(D131="Camp de regroupement d'unité Ainés","CRGUA",IF(D131="Camp de regroupement d'unité éclés","CRGUE",IF(D131="Camp de regroupement d'unité louveteaux","CRGULO",IF(D131="Camp de regroupement d'unité lutins","CRGULI",IF(D131="Camp inter groupe","CIG",IF(D131="Séjours adaptés mineurs","SAM",IF(D131="Séjours adaptés adultes","SAA",IF(D131="Séjours ouverts","SOU",IF(D131="Camp régional ouvert","RO"))))))))))))))))</f>
        <v>CG</v>
      </c>
      <c r="AU131" s="109" t="str">
        <f t="shared" si="20"/>
        <v>B</v>
      </c>
      <c r="AV131" s="110"/>
      <c r="AW131" s="111"/>
    </row>
    <row r="132" spans="1:49" ht="83.25" customHeight="1" thickBot="1" x14ac:dyDescent="0.4">
      <c r="A132" s="186" t="s">
        <v>722</v>
      </c>
      <c r="B132" s="2" t="s">
        <v>717</v>
      </c>
      <c r="C132" s="2" t="s">
        <v>740</v>
      </c>
      <c r="D132" s="2" t="s">
        <v>64</v>
      </c>
      <c r="E132" s="2"/>
      <c r="F132" s="7">
        <v>43302</v>
      </c>
      <c r="G132" s="7">
        <v>43310</v>
      </c>
      <c r="H132" s="123">
        <v>14</v>
      </c>
      <c r="I132" s="133">
        <v>3</v>
      </c>
      <c r="J132" s="145">
        <v>46</v>
      </c>
      <c r="K132" s="143">
        <v>8</v>
      </c>
      <c r="L132" s="126">
        <v>31</v>
      </c>
      <c r="M132" s="130">
        <v>5</v>
      </c>
      <c r="N132" s="17">
        <v>0</v>
      </c>
      <c r="O132" s="18">
        <v>0</v>
      </c>
      <c r="P132" s="19">
        <v>0</v>
      </c>
      <c r="Q132" s="35">
        <v>0</v>
      </c>
      <c r="R132" s="74">
        <f t="shared" si="17"/>
        <v>91</v>
      </c>
      <c r="S132" s="75">
        <f t="shared" si="16"/>
        <v>16</v>
      </c>
      <c r="T132" s="8">
        <f t="shared" si="18"/>
        <v>0.17582417582417584</v>
      </c>
      <c r="U132" s="9">
        <f t="shared" si="19"/>
        <v>107</v>
      </c>
      <c r="V132" s="3"/>
      <c r="W132" s="2"/>
      <c r="X132" s="2"/>
      <c r="Y132" s="2"/>
      <c r="Z132" s="2"/>
      <c r="AA132" s="2"/>
      <c r="AB132" s="2"/>
      <c r="AC132" s="2"/>
      <c r="AD132" s="2"/>
      <c r="AE132" s="2"/>
      <c r="AF132" s="2" t="s">
        <v>65</v>
      </c>
      <c r="AG132" s="2" t="s">
        <v>723</v>
      </c>
      <c r="AH132" s="2"/>
      <c r="AI132" s="2"/>
      <c r="AJ132" s="212" t="s">
        <v>724</v>
      </c>
      <c r="AK132" s="2" t="s">
        <v>883</v>
      </c>
      <c r="AL132" s="2" t="s">
        <v>725</v>
      </c>
      <c r="AM132" s="48" t="s">
        <v>866</v>
      </c>
      <c r="AN132" s="4">
        <v>684906219</v>
      </c>
      <c r="AO132" s="2" t="s">
        <v>719</v>
      </c>
      <c r="AP132" s="33" t="s">
        <v>51</v>
      </c>
      <c r="AQ132" s="203" t="s">
        <v>726</v>
      </c>
      <c r="AR132" s="6" t="s">
        <v>119</v>
      </c>
      <c r="AS132" s="108" t="s">
        <v>53</v>
      </c>
      <c r="AT132" s="105" t="str">
        <f t="shared" si="21"/>
        <v>CG</v>
      </c>
      <c r="AU132" s="109" t="str">
        <f t="shared" si="20"/>
        <v>D</v>
      </c>
      <c r="AV132" s="110"/>
      <c r="AW132" s="111"/>
    </row>
    <row r="133" spans="1:49" ht="83.25" customHeight="1" thickBot="1" x14ac:dyDescent="0.4">
      <c r="A133" s="186">
        <v>129</v>
      </c>
      <c r="B133" s="2" t="s">
        <v>727</v>
      </c>
      <c r="C133" s="2" t="s">
        <v>390</v>
      </c>
      <c r="D133" s="2" t="s">
        <v>64</v>
      </c>
      <c r="E133" s="2"/>
      <c r="F133" s="7">
        <v>43289</v>
      </c>
      <c r="G133" s="7">
        <v>43310</v>
      </c>
      <c r="H133" s="27">
        <v>0</v>
      </c>
      <c r="I133" s="28">
        <v>0</v>
      </c>
      <c r="J133" s="150">
        <v>16</v>
      </c>
      <c r="K133" s="30">
        <v>5</v>
      </c>
      <c r="L133" s="132">
        <v>33</v>
      </c>
      <c r="M133" s="148">
        <v>4</v>
      </c>
      <c r="N133" s="17">
        <v>0</v>
      </c>
      <c r="O133" s="18">
        <v>0</v>
      </c>
      <c r="P133" s="19">
        <v>0</v>
      </c>
      <c r="Q133" s="127">
        <v>2</v>
      </c>
      <c r="R133" s="74">
        <f t="shared" si="17"/>
        <v>49</v>
      </c>
      <c r="S133" s="75">
        <f t="shared" si="16"/>
        <v>11</v>
      </c>
      <c r="T133" s="8">
        <f t="shared" si="18"/>
        <v>0.22448979591836735</v>
      </c>
      <c r="U133" s="9">
        <f t="shared" si="19"/>
        <v>60</v>
      </c>
      <c r="V133" s="3"/>
      <c r="W133" s="2"/>
      <c r="X133" s="2"/>
      <c r="Y133" s="2">
        <v>1</v>
      </c>
      <c r="Z133" s="2">
        <v>-2</v>
      </c>
      <c r="AA133" s="2">
        <v>-2</v>
      </c>
      <c r="AB133" s="2"/>
      <c r="AC133" s="2"/>
      <c r="AD133" s="2"/>
      <c r="AE133" s="2">
        <v>2</v>
      </c>
      <c r="AF133" s="2" t="s">
        <v>148</v>
      </c>
      <c r="AG133" s="2" t="s">
        <v>729</v>
      </c>
      <c r="AH133" s="2"/>
      <c r="AI133" s="2"/>
      <c r="AJ133" s="212" t="s">
        <v>916</v>
      </c>
      <c r="AK133" s="2" t="s">
        <v>885</v>
      </c>
      <c r="AL133" s="2" t="s">
        <v>730</v>
      </c>
      <c r="AM133" s="48" t="s">
        <v>731</v>
      </c>
      <c r="AN133" s="4">
        <v>783038104</v>
      </c>
      <c r="AO133" s="2" t="s">
        <v>728</v>
      </c>
      <c r="AP133" s="33" t="s">
        <v>51</v>
      </c>
      <c r="AQ133" s="203" t="s">
        <v>130</v>
      </c>
      <c r="AR133" s="6" t="s">
        <v>131</v>
      </c>
      <c r="AS133" s="108" t="s">
        <v>53</v>
      </c>
      <c r="AT133" s="105" t="str">
        <f t="shared" si="21"/>
        <v>CG</v>
      </c>
      <c r="AU133" s="109" t="str">
        <f t="shared" si="20"/>
        <v>B</v>
      </c>
      <c r="AV133" s="110"/>
      <c r="AW133" s="111"/>
    </row>
    <row r="134" spans="1:49" ht="83.25" customHeight="1" thickBot="1" x14ac:dyDescent="0.4">
      <c r="A134" s="186">
        <v>130</v>
      </c>
      <c r="B134" s="2" t="s">
        <v>461</v>
      </c>
      <c r="C134" s="3" t="s">
        <v>461</v>
      </c>
      <c r="D134" s="2" t="s">
        <v>733</v>
      </c>
      <c r="E134" s="2"/>
      <c r="F134" s="7">
        <v>43322</v>
      </c>
      <c r="G134" s="7">
        <v>43335</v>
      </c>
      <c r="H134" s="27">
        <v>0</v>
      </c>
      <c r="I134" s="28">
        <v>0</v>
      </c>
      <c r="J134" s="150">
        <v>19</v>
      </c>
      <c r="K134" s="134">
        <v>4</v>
      </c>
      <c r="L134" s="126">
        <v>15</v>
      </c>
      <c r="M134" s="136">
        <v>4</v>
      </c>
      <c r="N134" s="17">
        <v>0</v>
      </c>
      <c r="O134" s="18">
        <v>0</v>
      </c>
      <c r="P134" s="19">
        <v>0</v>
      </c>
      <c r="Q134" s="127">
        <v>4</v>
      </c>
      <c r="R134" s="74">
        <f t="shared" si="17"/>
        <v>34</v>
      </c>
      <c r="S134" s="75">
        <f t="shared" si="16"/>
        <v>12</v>
      </c>
      <c r="T134" s="8">
        <f t="shared" si="18"/>
        <v>0.35294117647058826</v>
      </c>
      <c r="U134" s="9">
        <f t="shared" si="19"/>
        <v>46</v>
      </c>
      <c r="V134" s="3"/>
      <c r="W134" s="2"/>
      <c r="X134" s="2"/>
      <c r="Y134" s="2"/>
      <c r="Z134" s="2">
        <v>1</v>
      </c>
      <c r="AA134" s="2"/>
      <c r="AB134" s="2"/>
      <c r="AC134" s="2"/>
      <c r="AD134" s="2"/>
      <c r="AE134" s="2">
        <v>1</v>
      </c>
      <c r="AF134" s="2" t="s">
        <v>148</v>
      </c>
      <c r="AG134" s="2" t="s">
        <v>734</v>
      </c>
      <c r="AH134" s="2"/>
      <c r="AI134" s="2"/>
      <c r="AJ134" s="212" t="s">
        <v>917</v>
      </c>
      <c r="AK134" s="2" t="s">
        <v>885</v>
      </c>
      <c r="AL134" s="2" t="s">
        <v>735</v>
      </c>
      <c r="AM134" s="48" t="s">
        <v>736</v>
      </c>
      <c r="AN134" s="4">
        <v>674655572</v>
      </c>
      <c r="AO134" s="2" t="s">
        <v>732</v>
      </c>
      <c r="AP134" s="33" t="s">
        <v>122</v>
      </c>
      <c r="AQ134" s="203" t="s">
        <v>737</v>
      </c>
      <c r="AR134" s="6" t="s">
        <v>461</v>
      </c>
      <c r="AS134" s="108" t="s">
        <v>675</v>
      </c>
      <c r="AT134" s="105" t="str">
        <f t="shared" si="21"/>
        <v>CR</v>
      </c>
      <c r="AU134" s="109" t="str">
        <f t="shared" si="20"/>
        <v>B</v>
      </c>
      <c r="AV134" s="110"/>
      <c r="AW134" s="111"/>
    </row>
    <row r="135" spans="1:49" ht="83.25" customHeight="1" thickBot="1" x14ac:dyDescent="0.4">
      <c r="A135" s="154">
        <v>131</v>
      </c>
      <c r="B135" s="2" t="s">
        <v>741</v>
      </c>
      <c r="C135" s="2" t="s">
        <v>740</v>
      </c>
      <c r="D135" s="2" t="s">
        <v>64</v>
      </c>
      <c r="E135" s="2"/>
      <c r="F135" s="7">
        <v>43295</v>
      </c>
      <c r="G135" s="7">
        <v>43310</v>
      </c>
      <c r="H135" s="152">
        <v>3</v>
      </c>
      <c r="I135" s="139">
        <v>1</v>
      </c>
      <c r="J135" s="145">
        <v>13</v>
      </c>
      <c r="K135" s="143">
        <v>2</v>
      </c>
      <c r="L135" s="166">
        <v>15</v>
      </c>
      <c r="M135" s="148">
        <v>2</v>
      </c>
      <c r="N135" s="149">
        <v>7</v>
      </c>
      <c r="O135" s="167">
        <v>2</v>
      </c>
      <c r="P135" s="19">
        <v>0</v>
      </c>
      <c r="Q135" s="138">
        <v>1</v>
      </c>
      <c r="R135" s="74">
        <f t="shared" si="17"/>
        <v>38</v>
      </c>
      <c r="S135" s="75">
        <f t="shared" si="16"/>
        <v>8</v>
      </c>
      <c r="T135" s="8">
        <f t="shared" si="18"/>
        <v>0.21052631578947367</v>
      </c>
      <c r="U135" s="9">
        <f t="shared" si="19"/>
        <v>46</v>
      </c>
      <c r="V135" s="3"/>
      <c r="W135" s="2"/>
      <c r="X135" s="2">
        <v>-2</v>
      </c>
      <c r="Y135" s="2">
        <v>-1</v>
      </c>
      <c r="Z135" s="2"/>
      <c r="AA135" s="2">
        <v>-1</v>
      </c>
      <c r="AB135" s="2">
        <v>-1</v>
      </c>
      <c r="AC135" s="2">
        <v>1</v>
      </c>
      <c r="AD135" s="2"/>
      <c r="AE135" s="2"/>
      <c r="AF135" s="2" t="s">
        <v>148</v>
      </c>
      <c r="AG135" s="2" t="s">
        <v>743</v>
      </c>
      <c r="AH135" s="2"/>
      <c r="AI135" s="2"/>
      <c r="AJ135" s="212" t="s">
        <v>744</v>
      </c>
      <c r="AK135" s="2" t="s">
        <v>889</v>
      </c>
      <c r="AL135" s="2" t="s">
        <v>745</v>
      </c>
      <c r="AM135" s="48" t="s">
        <v>746</v>
      </c>
      <c r="AN135" s="4" t="s">
        <v>747</v>
      </c>
      <c r="AO135" s="2" t="s">
        <v>742</v>
      </c>
      <c r="AP135" s="33" t="s">
        <v>51</v>
      </c>
      <c r="AQ135" s="203" t="s">
        <v>748</v>
      </c>
      <c r="AR135" s="6" t="s">
        <v>461</v>
      </c>
      <c r="AS135" s="108" t="s">
        <v>53</v>
      </c>
      <c r="AT135" s="105" t="str">
        <f t="shared" si="21"/>
        <v>CG</v>
      </c>
      <c r="AU135" s="109" t="str">
        <f t="shared" si="20"/>
        <v>B</v>
      </c>
      <c r="AV135" s="110"/>
      <c r="AW135" s="111"/>
    </row>
    <row r="136" spans="1:49" ht="83.25" customHeight="1" thickBot="1" x14ac:dyDescent="0.4">
      <c r="A136" s="154">
        <v>132</v>
      </c>
      <c r="B136" s="2" t="s">
        <v>749</v>
      </c>
      <c r="C136" s="3" t="s">
        <v>246</v>
      </c>
      <c r="D136" s="2" t="s">
        <v>64</v>
      </c>
      <c r="E136" s="2"/>
      <c r="F136" s="7">
        <v>43291</v>
      </c>
      <c r="G136" s="7">
        <v>43311</v>
      </c>
      <c r="H136" s="152">
        <v>0</v>
      </c>
      <c r="I136" s="139">
        <v>0</v>
      </c>
      <c r="J136" s="150">
        <v>14</v>
      </c>
      <c r="K136" s="134">
        <v>4</v>
      </c>
      <c r="L136" s="166">
        <v>14</v>
      </c>
      <c r="M136" s="136">
        <v>5</v>
      </c>
      <c r="N136" s="153">
        <v>7</v>
      </c>
      <c r="O136" s="147">
        <v>1</v>
      </c>
      <c r="P136" s="165">
        <v>0</v>
      </c>
      <c r="Q136" s="127">
        <v>2</v>
      </c>
      <c r="R136" s="74">
        <f t="shared" si="17"/>
        <v>35</v>
      </c>
      <c r="S136" s="75">
        <f t="shared" si="16"/>
        <v>12</v>
      </c>
      <c r="T136" s="8">
        <f t="shared" si="18"/>
        <v>0.34285714285714286</v>
      </c>
      <c r="U136" s="9">
        <f t="shared" si="19"/>
        <v>47</v>
      </c>
      <c r="V136" s="3"/>
      <c r="W136" s="2"/>
      <c r="X136" s="2"/>
      <c r="Y136" s="2"/>
      <c r="Z136" s="2"/>
      <c r="AA136" s="2"/>
      <c r="AB136" s="2"/>
      <c r="AC136" s="2"/>
      <c r="AD136" s="2"/>
      <c r="AE136" s="2">
        <v>2</v>
      </c>
      <c r="AF136" s="2" t="s">
        <v>148</v>
      </c>
      <c r="AG136" s="2" t="s">
        <v>57</v>
      </c>
      <c r="AH136" s="2"/>
      <c r="AI136" s="2"/>
      <c r="AJ136" s="212" t="s">
        <v>925</v>
      </c>
      <c r="AK136" s="2" t="s">
        <v>881</v>
      </c>
      <c r="AL136" s="2" t="s">
        <v>751</v>
      </c>
      <c r="AM136" s="48" t="s">
        <v>752</v>
      </c>
      <c r="AN136" s="4" t="s">
        <v>753</v>
      </c>
      <c r="AO136" s="2" t="s">
        <v>750</v>
      </c>
      <c r="AP136" s="33" t="s">
        <v>51</v>
      </c>
      <c r="AQ136" s="203" t="s">
        <v>108</v>
      </c>
      <c r="AR136" s="6" t="s">
        <v>461</v>
      </c>
      <c r="AS136" s="108" t="s">
        <v>53</v>
      </c>
      <c r="AT136" s="105" t="str">
        <f t="shared" si="21"/>
        <v>CG</v>
      </c>
      <c r="AU136" s="109" t="str">
        <f t="shared" si="20"/>
        <v>B</v>
      </c>
      <c r="AV136" s="110"/>
      <c r="AW136" s="111"/>
    </row>
    <row r="137" spans="1:49" ht="83.25" customHeight="1" thickBot="1" x14ac:dyDescent="0.4">
      <c r="A137" s="186">
        <v>133</v>
      </c>
      <c r="B137" s="2" t="s">
        <v>366</v>
      </c>
      <c r="C137" s="2" t="s">
        <v>52</v>
      </c>
      <c r="D137" s="14" t="s">
        <v>360</v>
      </c>
      <c r="E137" s="2"/>
      <c r="F137" s="7">
        <v>43289</v>
      </c>
      <c r="G137" s="7">
        <v>43309</v>
      </c>
      <c r="H137" s="152">
        <v>0</v>
      </c>
      <c r="I137" s="139">
        <v>0</v>
      </c>
      <c r="J137" s="150">
        <v>0</v>
      </c>
      <c r="K137" s="134">
        <v>0</v>
      </c>
      <c r="L137" s="166">
        <v>0</v>
      </c>
      <c r="M137" s="136">
        <v>0</v>
      </c>
      <c r="N137" s="149">
        <v>13</v>
      </c>
      <c r="O137" s="167">
        <v>4</v>
      </c>
      <c r="P137" s="165">
        <v>0</v>
      </c>
      <c r="Q137" s="138">
        <v>0</v>
      </c>
      <c r="R137" s="74">
        <f t="shared" si="17"/>
        <v>13</v>
      </c>
      <c r="S137" s="75">
        <f t="shared" si="16"/>
        <v>4</v>
      </c>
      <c r="T137" s="8">
        <f t="shared" si="18"/>
        <v>0.30769230769230771</v>
      </c>
      <c r="U137" s="9">
        <f t="shared" si="19"/>
        <v>17</v>
      </c>
      <c r="V137" s="3"/>
      <c r="W137" s="2"/>
      <c r="X137" s="2"/>
      <c r="Y137" s="2"/>
      <c r="Z137" s="2"/>
      <c r="AA137" s="2"/>
      <c r="AB137" s="2">
        <v>-1</v>
      </c>
      <c r="AC137" s="2">
        <v>1</v>
      </c>
      <c r="AD137" s="2"/>
      <c r="AE137" s="2"/>
      <c r="AF137" s="6" t="s">
        <v>133</v>
      </c>
      <c r="AG137" s="2" t="s">
        <v>86</v>
      </c>
      <c r="AH137" s="2"/>
      <c r="AI137" s="2"/>
      <c r="AJ137" s="212" t="s">
        <v>86</v>
      </c>
      <c r="AK137" s="2" t="s">
        <v>880</v>
      </c>
      <c r="AL137" s="2" t="s">
        <v>754</v>
      </c>
      <c r="AM137" s="47" t="s">
        <v>755</v>
      </c>
      <c r="AN137" s="4">
        <v>645706290</v>
      </c>
      <c r="AO137" s="2" t="s">
        <v>367</v>
      </c>
      <c r="AP137" s="33" t="s">
        <v>51</v>
      </c>
      <c r="AQ137" s="203"/>
      <c r="AR137" s="6" t="s">
        <v>86</v>
      </c>
      <c r="AS137" s="108" t="s">
        <v>53</v>
      </c>
      <c r="AT137" s="105" t="str">
        <f t="shared" si="21"/>
        <v>CUA</v>
      </c>
      <c r="AU137" s="109" t="str">
        <f t="shared" si="20"/>
        <v>A</v>
      </c>
      <c r="AV137" s="110"/>
      <c r="AW137" s="111"/>
    </row>
    <row r="138" spans="1:49" ht="83.25" customHeight="1" thickBot="1" x14ac:dyDescent="0.4">
      <c r="A138" s="186">
        <v>134</v>
      </c>
      <c r="B138" s="2" t="s">
        <v>258</v>
      </c>
      <c r="C138" s="2" t="s">
        <v>52</v>
      </c>
      <c r="D138" s="14" t="s">
        <v>360</v>
      </c>
      <c r="E138" s="2"/>
      <c r="F138" s="7">
        <v>43293</v>
      </c>
      <c r="G138" s="7">
        <v>43309</v>
      </c>
      <c r="H138" s="152">
        <v>0</v>
      </c>
      <c r="I138" s="139">
        <v>0</v>
      </c>
      <c r="J138" s="150">
        <v>0</v>
      </c>
      <c r="K138" s="134">
        <v>0</v>
      </c>
      <c r="L138" s="166">
        <v>0</v>
      </c>
      <c r="M138" s="136">
        <v>0</v>
      </c>
      <c r="N138" s="149">
        <v>4</v>
      </c>
      <c r="O138" s="147">
        <v>2</v>
      </c>
      <c r="P138" s="165">
        <v>0</v>
      </c>
      <c r="Q138" s="138">
        <v>0</v>
      </c>
      <c r="R138" s="74">
        <f t="shared" si="17"/>
        <v>4</v>
      </c>
      <c r="S138" s="75">
        <f t="shared" si="16"/>
        <v>2</v>
      </c>
      <c r="T138" s="8">
        <f t="shared" si="18"/>
        <v>0.5</v>
      </c>
      <c r="U138" s="9">
        <f t="shared" si="19"/>
        <v>6</v>
      </c>
      <c r="V138" s="3"/>
      <c r="W138" s="2"/>
      <c r="X138" s="2"/>
      <c r="Y138" s="2"/>
      <c r="Z138" s="2"/>
      <c r="AA138" s="2"/>
      <c r="AB138" s="2"/>
      <c r="AC138" s="2">
        <v>-1</v>
      </c>
      <c r="AD138" s="2"/>
      <c r="AE138" s="2"/>
      <c r="AF138" s="2" t="s">
        <v>65</v>
      </c>
      <c r="AG138" s="2" t="s">
        <v>756</v>
      </c>
      <c r="AH138" s="2"/>
      <c r="AI138" s="2"/>
      <c r="AJ138" s="212" t="s">
        <v>1950</v>
      </c>
      <c r="AK138" s="2" t="s">
        <v>893</v>
      </c>
      <c r="AL138" s="2" t="s">
        <v>757</v>
      </c>
      <c r="AM138" s="48" t="s">
        <v>758</v>
      </c>
      <c r="AN138" s="4">
        <v>674256080</v>
      </c>
      <c r="AO138" s="2" t="s">
        <v>259</v>
      </c>
      <c r="AP138" s="33" t="s">
        <v>51</v>
      </c>
      <c r="AQ138" s="203" t="s">
        <v>252</v>
      </c>
      <c r="AR138" s="6" t="s">
        <v>43</v>
      </c>
      <c r="AS138" s="108" t="s">
        <v>53</v>
      </c>
      <c r="AT138" s="105" t="str">
        <f t="shared" si="21"/>
        <v>CUA</v>
      </c>
      <c r="AU138" s="109" t="str">
        <f t="shared" si="20"/>
        <v>A</v>
      </c>
      <c r="AV138" s="110"/>
      <c r="AW138" s="111"/>
    </row>
    <row r="139" spans="1:49" ht="73.5" customHeight="1" thickBot="1" x14ac:dyDescent="0.4">
      <c r="A139" s="186">
        <v>135</v>
      </c>
      <c r="B139" s="2" t="s">
        <v>254</v>
      </c>
      <c r="C139" s="2" t="s">
        <v>52</v>
      </c>
      <c r="D139" s="14" t="s">
        <v>360</v>
      </c>
      <c r="E139" s="2"/>
      <c r="F139" s="7">
        <v>43311</v>
      </c>
      <c r="G139" s="7">
        <v>43343</v>
      </c>
      <c r="H139" s="27">
        <v>0</v>
      </c>
      <c r="I139" s="28">
        <v>0</v>
      </c>
      <c r="J139" s="29">
        <v>0</v>
      </c>
      <c r="K139" s="30">
        <v>0</v>
      </c>
      <c r="L139" s="31">
        <v>0</v>
      </c>
      <c r="M139" s="32">
        <v>0</v>
      </c>
      <c r="N139" s="153">
        <v>10</v>
      </c>
      <c r="O139" s="147">
        <v>3</v>
      </c>
      <c r="P139" s="19">
        <v>0</v>
      </c>
      <c r="Q139" s="35">
        <v>0</v>
      </c>
      <c r="R139" s="74">
        <f t="shared" si="17"/>
        <v>10</v>
      </c>
      <c r="S139" s="75">
        <f t="shared" si="16"/>
        <v>3</v>
      </c>
      <c r="T139" s="8">
        <f t="shared" si="18"/>
        <v>0.3</v>
      </c>
      <c r="U139" s="9">
        <f t="shared" si="19"/>
        <v>13</v>
      </c>
      <c r="V139" s="3"/>
      <c r="W139" s="2"/>
      <c r="X139" s="2"/>
      <c r="Y139" s="2"/>
      <c r="Z139" s="2"/>
      <c r="AA139" s="2"/>
      <c r="AB139" s="2"/>
      <c r="AC139" s="2"/>
      <c r="AD139" s="2"/>
      <c r="AE139" s="2"/>
      <c r="AF139" s="2" t="s">
        <v>65</v>
      </c>
      <c r="AG139" s="2"/>
      <c r="AH139" s="2" t="s">
        <v>759</v>
      </c>
      <c r="AI139" s="2"/>
      <c r="AJ139" s="212" t="s">
        <v>760</v>
      </c>
      <c r="AK139" s="2" t="s">
        <v>884</v>
      </c>
      <c r="AL139" s="2" t="s">
        <v>761</v>
      </c>
      <c r="AM139" s="48" t="s">
        <v>762</v>
      </c>
      <c r="AN139" s="4">
        <v>614275560</v>
      </c>
      <c r="AO139" s="2" t="s">
        <v>255</v>
      </c>
      <c r="AP139" s="33" t="s">
        <v>87</v>
      </c>
      <c r="AQ139" s="203"/>
      <c r="AR139" s="6"/>
      <c r="AS139" s="108" t="s">
        <v>53</v>
      </c>
      <c r="AT139" s="105" t="str">
        <f t="shared" si="21"/>
        <v>CUA</v>
      </c>
      <c r="AU139" s="109" t="str">
        <f t="shared" si="20"/>
        <v>A</v>
      </c>
      <c r="AV139" s="110"/>
      <c r="AW139" s="111"/>
    </row>
    <row r="140" spans="1:49" ht="75.75" customHeight="1" thickBot="1" x14ac:dyDescent="0.4">
      <c r="A140" s="186">
        <v>136</v>
      </c>
      <c r="B140" s="2" t="s">
        <v>763</v>
      </c>
      <c r="C140" s="2" t="s">
        <v>52</v>
      </c>
      <c r="D140" s="2" t="s">
        <v>351</v>
      </c>
      <c r="E140" s="2" t="s">
        <v>766</v>
      </c>
      <c r="F140" s="7">
        <v>43292</v>
      </c>
      <c r="G140" s="7">
        <v>43308</v>
      </c>
      <c r="H140" s="142">
        <v>5</v>
      </c>
      <c r="I140" s="168">
        <v>3</v>
      </c>
      <c r="J140" s="145">
        <v>16</v>
      </c>
      <c r="K140" s="131">
        <v>7</v>
      </c>
      <c r="L140" s="132">
        <v>36</v>
      </c>
      <c r="M140" s="148">
        <v>6</v>
      </c>
      <c r="N140" s="146">
        <v>5</v>
      </c>
      <c r="O140" s="167">
        <v>2</v>
      </c>
      <c r="P140" s="19">
        <v>0</v>
      </c>
      <c r="Q140" s="138">
        <v>4</v>
      </c>
      <c r="R140" s="74">
        <f t="shared" si="17"/>
        <v>62</v>
      </c>
      <c r="S140" s="75">
        <f t="shared" si="16"/>
        <v>22</v>
      </c>
      <c r="T140" s="8">
        <f t="shared" si="18"/>
        <v>0.35483870967741937</v>
      </c>
      <c r="U140" s="9">
        <f t="shared" si="19"/>
        <v>84</v>
      </c>
      <c r="V140" s="3">
        <v>-5</v>
      </c>
      <c r="W140" s="2">
        <v>-1</v>
      </c>
      <c r="X140" s="2">
        <v>-4</v>
      </c>
      <c r="Y140" s="2">
        <v>2</v>
      </c>
      <c r="Z140" s="2">
        <v>-1</v>
      </c>
      <c r="AA140" s="2">
        <v>-2</v>
      </c>
      <c r="AB140" s="2">
        <v>5</v>
      </c>
      <c r="AC140" s="2">
        <v>2</v>
      </c>
      <c r="AD140" s="2"/>
      <c r="AE140" s="2"/>
      <c r="AF140" s="2" t="s">
        <v>148</v>
      </c>
      <c r="AG140" s="2" t="s">
        <v>767</v>
      </c>
      <c r="AH140" s="2"/>
      <c r="AI140" s="2"/>
      <c r="AJ140" s="212" t="s">
        <v>768</v>
      </c>
      <c r="AK140" s="2" t="s">
        <v>887</v>
      </c>
      <c r="AL140" s="2" t="s">
        <v>764</v>
      </c>
      <c r="AM140" s="48" t="s">
        <v>765</v>
      </c>
      <c r="AN140" s="4">
        <v>676641887</v>
      </c>
      <c r="AO140" s="6" t="s">
        <v>764</v>
      </c>
      <c r="AP140" s="33" t="s">
        <v>51</v>
      </c>
      <c r="AQ140" s="203" t="s">
        <v>173</v>
      </c>
      <c r="AR140" s="6" t="s">
        <v>43</v>
      </c>
      <c r="AS140" s="108" t="s">
        <v>53</v>
      </c>
      <c r="AT140" s="105" t="str">
        <f t="shared" si="21"/>
        <v>CGG</v>
      </c>
      <c r="AU140" s="109" t="str">
        <f t="shared" si="20"/>
        <v>C</v>
      </c>
      <c r="AV140" s="110"/>
      <c r="AW140" s="111"/>
    </row>
    <row r="141" spans="1:49" ht="56.15" customHeight="1" thickBot="1" x14ac:dyDescent="0.4">
      <c r="A141" s="186">
        <v>137</v>
      </c>
      <c r="B141" s="2" t="s">
        <v>509</v>
      </c>
      <c r="C141" s="2" t="s">
        <v>52</v>
      </c>
      <c r="D141" s="2" t="s">
        <v>64</v>
      </c>
      <c r="E141" s="2"/>
      <c r="F141" s="7">
        <v>43289</v>
      </c>
      <c r="G141" s="7">
        <v>43302</v>
      </c>
      <c r="H141" s="128">
        <v>6</v>
      </c>
      <c r="I141" s="133">
        <v>3</v>
      </c>
      <c r="J141" s="124">
        <v>21</v>
      </c>
      <c r="K141" s="30">
        <v>5</v>
      </c>
      <c r="L141" s="31">
        <v>15</v>
      </c>
      <c r="M141" s="130">
        <v>4</v>
      </c>
      <c r="N141" s="17">
        <v>7</v>
      </c>
      <c r="O141" s="18">
        <v>1</v>
      </c>
      <c r="P141" s="19">
        <v>0</v>
      </c>
      <c r="Q141" s="35">
        <v>2</v>
      </c>
      <c r="R141" s="74">
        <f t="shared" si="17"/>
        <v>49</v>
      </c>
      <c r="S141" s="75">
        <f t="shared" si="16"/>
        <v>15</v>
      </c>
      <c r="T141" s="8">
        <f t="shared" si="18"/>
        <v>0.30612244897959184</v>
      </c>
      <c r="U141" s="9">
        <f t="shared" si="19"/>
        <v>64</v>
      </c>
      <c r="V141" s="3">
        <v>-2</v>
      </c>
      <c r="W141" s="2">
        <v>1</v>
      </c>
      <c r="X141" s="2">
        <v>-2</v>
      </c>
      <c r="Y141" s="2"/>
      <c r="Z141" s="2"/>
      <c r="AA141" s="2">
        <v>1</v>
      </c>
      <c r="AB141" s="2"/>
      <c r="AC141" s="2"/>
      <c r="AD141" s="2"/>
      <c r="AE141" s="2"/>
      <c r="AF141" s="2" t="s">
        <v>65</v>
      </c>
      <c r="AG141" s="2" t="s">
        <v>769</v>
      </c>
      <c r="AH141" s="2"/>
      <c r="AI141" s="2"/>
      <c r="AJ141" s="212" t="s">
        <v>770</v>
      </c>
      <c r="AK141" s="2" t="s">
        <v>883</v>
      </c>
      <c r="AL141" s="2" t="s">
        <v>771</v>
      </c>
      <c r="AM141" s="48" t="s">
        <v>772</v>
      </c>
      <c r="AN141" s="4">
        <v>619665342</v>
      </c>
      <c r="AO141" s="2" t="s">
        <v>510</v>
      </c>
      <c r="AP141" s="33" t="s">
        <v>51</v>
      </c>
      <c r="AQ141" s="203" t="s">
        <v>373</v>
      </c>
      <c r="AR141" s="6" t="s">
        <v>52</v>
      </c>
      <c r="AS141" s="108" t="s">
        <v>53</v>
      </c>
      <c r="AT141" s="105" t="str">
        <f t="shared" si="21"/>
        <v>CG</v>
      </c>
      <c r="AU141" s="109" t="str">
        <f t="shared" si="20"/>
        <v>B</v>
      </c>
      <c r="AV141" s="110"/>
      <c r="AW141" s="111"/>
    </row>
    <row r="142" spans="1:49" ht="85.5" customHeight="1" thickBot="1" x14ac:dyDescent="0.4">
      <c r="A142" s="186">
        <v>138</v>
      </c>
      <c r="B142" s="2" t="s">
        <v>773</v>
      </c>
      <c r="C142" s="2" t="s">
        <v>238</v>
      </c>
      <c r="D142" s="2" t="s">
        <v>64</v>
      </c>
      <c r="E142" s="2"/>
      <c r="F142" s="7">
        <v>43293</v>
      </c>
      <c r="G142" s="7">
        <v>43306</v>
      </c>
      <c r="H142" s="142">
        <v>2</v>
      </c>
      <c r="I142" s="139">
        <v>1</v>
      </c>
      <c r="J142" s="145">
        <v>13</v>
      </c>
      <c r="K142" s="134">
        <v>4</v>
      </c>
      <c r="L142" s="132">
        <v>14</v>
      </c>
      <c r="M142" s="136">
        <v>3</v>
      </c>
      <c r="N142" s="149">
        <v>2</v>
      </c>
      <c r="O142" s="147">
        <v>1</v>
      </c>
      <c r="P142" s="165">
        <v>0</v>
      </c>
      <c r="Q142" s="138">
        <v>2</v>
      </c>
      <c r="R142" s="74">
        <f t="shared" si="17"/>
        <v>31</v>
      </c>
      <c r="S142" s="75">
        <f t="shared" si="16"/>
        <v>11</v>
      </c>
      <c r="T142" s="8">
        <f t="shared" si="18"/>
        <v>0.35483870967741937</v>
      </c>
      <c r="U142" s="9">
        <f t="shared" si="19"/>
        <v>42</v>
      </c>
      <c r="V142" s="3">
        <v>-3</v>
      </c>
      <c r="W142" s="2"/>
      <c r="X142" s="2">
        <v>-2</v>
      </c>
      <c r="Y142" s="2"/>
      <c r="Z142" s="2">
        <v>-1</v>
      </c>
      <c r="AA142" s="2"/>
      <c r="AB142" s="2">
        <v>-3</v>
      </c>
      <c r="AC142" s="2"/>
      <c r="AD142" s="2"/>
      <c r="AE142" s="2"/>
      <c r="AF142" s="2" t="s">
        <v>148</v>
      </c>
      <c r="AG142" s="2" t="s">
        <v>775</v>
      </c>
      <c r="AH142" s="2"/>
      <c r="AI142" s="2"/>
      <c r="AJ142" s="212" t="s">
        <v>776</v>
      </c>
      <c r="AK142" s="2" t="s">
        <v>887</v>
      </c>
      <c r="AL142" s="2" t="s">
        <v>774</v>
      </c>
      <c r="AM142" s="47" t="s">
        <v>864</v>
      </c>
      <c r="AN142" s="4">
        <v>603161540</v>
      </c>
      <c r="AO142" s="2" t="s">
        <v>774</v>
      </c>
      <c r="AP142" s="33" t="s">
        <v>51</v>
      </c>
      <c r="AQ142" s="203" t="s">
        <v>777</v>
      </c>
      <c r="AR142" s="6" t="s">
        <v>238</v>
      </c>
      <c r="AS142" s="108" t="s">
        <v>53</v>
      </c>
      <c r="AT142" s="105" t="str">
        <f t="shared" si="21"/>
        <v>CG</v>
      </c>
      <c r="AU142" s="109" t="str">
        <f t="shared" si="20"/>
        <v>B</v>
      </c>
      <c r="AV142" s="110"/>
      <c r="AW142" s="111"/>
    </row>
    <row r="143" spans="1:49" ht="81" customHeight="1" thickBot="1" x14ac:dyDescent="0.4">
      <c r="A143" s="154">
        <v>139</v>
      </c>
      <c r="B143" s="2" t="s">
        <v>688</v>
      </c>
      <c r="C143" s="2" t="s">
        <v>238</v>
      </c>
      <c r="D143" s="2" t="s">
        <v>351</v>
      </c>
      <c r="E143" s="2" t="s">
        <v>779</v>
      </c>
      <c r="F143" s="7">
        <v>43295</v>
      </c>
      <c r="G143" s="7">
        <v>43309</v>
      </c>
      <c r="H143" s="152">
        <v>15</v>
      </c>
      <c r="I143" s="139">
        <v>4</v>
      </c>
      <c r="J143" s="129">
        <v>23</v>
      </c>
      <c r="K143" s="134">
        <v>8</v>
      </c>
      <c r="L143" s="126">
        <v>21</v>
      </c>
      <c r="M143" s="136">
        <v>3</v>
      </c>
      <c r="N143" s="153">
        <v>4</v>
      </c>
      <c r="O143" s="147">
        <v>1</v>
      </c>
      <c r="P143" s="165">
        <v>0</v>
      </c>
      <c r="Q143" s="138">
        <v>6</v>
      </c>
      <c r="R143" s="74">
        <f t="shared" si="17"/>
        <v>63</v>
      </c>
      <c r="S143" s="75">
        <f t="shared" si="16"/>
        <v>22</v>
      </c>
      <c r="T143" s="8">
        <f t="shared" si="18"/>
        <v>0.34920634920634919</v>
      </c>
      <c r="U143" s="9">
        <f t="shared" si="19"/>
        <v>85</v>
      </c>
      <c r="V143" s="3"/>
      <c r="W143" s="2"/>
      <c r="X143" s="2">
        <v>2</v>
      </c>
      <c r="Y143" s="2"/>
      <c r="Z143" s="2">
        <v>1</v>
      </c>
      <c r="AA143" s="2"/>
      <c r="AB143" s="2"/>
      <c r="AC143" s="2"/>
      <c r="AD143" s="2"/>
      <c r="AE143" s="2"/>
      <c r="AF143" s="2" t="s">
        <v>148</v>
      </c>
      <c r="AG143" s="2" t="s">
        <v>780</v>
      </c>
      <c r="AH143" s="2"/>
      <c r="AI143" s="2"/>
      <c r="AJ143" s="212" t="s">
        <v>918</v>
      </c>
      <c r="AK143" s="2" t="s">
        <v>888</v>
      </c>
      <c r="AL143" s="2" t="s">
        <v>781</v>
      </c>
      <c r="AM143" s="47" t="s">
        <v>782</v>
      </c>
      <c r="AN143" s="4">
        <v>676445473</v>
      </c>
      <c r="AO143" s="2" t="s">
        <v>778</v>
      </c>
      <c r="AP143" s="33" t="s">
        <v>51</v>
      </c>
      <c r="AQ143" s="203" t="s">
        <v>286</v>
      </c>
      <c r="AR143" s="6" t="s">
        <v>131</v>
      </c>
      <c r="AS143" s="108" t="s">
        <v>53</v>
      </c>
      <c r="AT143" s="105" t="str">
        <f t="shared" si="21"/>
        <v>CGG</v>
      </c>
      <c r="AU143" s="109" t="str">
        <f t="shared" si="20"/>
        <v>C</v>
      </c>
      <c r="AV143" s="110"/>
      <c r="AW143" s="111"/>
    </row>
    <row r="144" spans="1:49" ht="56.15" customHeight="1" thickBot="1" x14ac:dyDescent="0.4">
      <c r="A144" s="186">
        <v>140</v>
      </c>
      <c r="B144" s="2" t="s">
        <v>783</v>
      </c>
      <c r="C144" s="2" t="s">
        <v>131</v>
      </c>
      <c r="D144" s="14" t="s">
        <v>360</v>
      </c>
      <c r="E144" s="2"/>
      <c r="F144" s="7">
        <v>43290</v>
      </c>
      <c r="G144" s="7">
        <v>43312</v>
      </c>
      <c r="H144" s="27">
        <v>0</v>
      </c>
      <c r="I144" s="28">
        <v>0</v>
      </c>
      <c r="J144" s="29">
        <v>0</v>
      </c>
      <c r="K144" s="30">
        <v>0</v>
      </c>
      <c r="L144" s="31">
        <v>0</v>
      </c>
      <c r="M144" s="32">
        <v>0</v>
      </c>
      <c r="N144" s="17">
        <v>6</v>
      </c>
      <c r="O144" s="18">
        <v>1</v>
      </c>
      <c r="P144" s="19">
        <v>0</v>
      </c>
      <c r="Q144" s="127">
        <v>1</v>
      </c>
      <c r="R144" s="74">
        <f t="shared" si="17"/>
        <v>6</v>
      </c>
      <c r="S144" s="75">
        <f t="shared" si="16"/>
        <v>2</v>
      </c>
      <c r="T144" s="8">
        <f t="shared" si="18"/>
        <v>0.33333333333333331</v>
      </c>
      <c r="U144" s="9">
        <f t="shared" si="19"/>
        <v>8</v>
      </c>
      <c r="V144" s="3"/>
      <c r="W144" s="2"/>
      <c r="X144" s="2"/>
      <c r="Y144" s="2"/>
      <c r="Z144" s="2"/>
      <c r="AA144" s="2"/>
      <c r="AB144" s="2"/>
      <c r="AC144" s="2"/>
      <c r="AD144" s="2"/>
      <c r="AE144" s="2">
        <v>1</v>
      </c>
      <c r="AF144" s="2" t="s">
        <v>148</v>
      </c>
      <c r="AG144" s="2" t="s">
        <v>57</v>
      </c>
      <c r="AH144" s="2"/>
      <c r="AI144" s="2"/>
      <c r="AJ144" s="212" t="s">
        <v>925</v>
      </c>
      <c r="AK144" s="2" t="s">
        <v>881</v>
      </c>
      <c r="AL144" s="2" t="s">
        <v>785</v>
      </c>
      <c r="AM144" s="48" t="s">
        <v>786</v>
      </c>
      <c r="AN144" s="4" t="s">
        <v>787</v>
      </c>
      <c r="AO144" s="2" t="s">
        <v>784</v>
      </c>
      <c r="AP144" s="33" t="s">
        <v>51</v>
      </c>
      <c r="AQ144" s="203" t="s">
        <v>108</v>
      </c>
      <c r="AR144" s="6" t="s">
        <v>54</v>
      </c>
      <c r="AS144" s="108" t="s">
        <v>53</v>
      </c>
      <c r="AT144" s="105" t="s">
        <v>788</v>
      </c>
      <c r="AU144" s="109" t="str">
        <f t="shared" si="20"/>
        <v>A</v>
      </c>
      <c r="AV144" s="110"/>
      <c r="AW144" s="111"/>
    </row>
    <row r="145" spans="1:49" ht="56.15" customHeight="1" thickBot="1" x14ac:dyDescent="0.4">
      <c r="A145" s="154">
        <v>141</v>
      </c>
      <c r="B145" s="2" t="s">
        <v>789</v>
      </c>
      <c r="C145" s="2" t="s">
        <v>246</v>
      </c>
      <c r="D145" s="2" t="s">
        <v>64</v>
      </c>
      <c r="E145" s="2"/>
      <c r="F145" s="7">
        <v>43292</v>
      </c>
      <c r="G145" s="7">
        <v>43308</v>
      </c>
      <c r="H145" s="27">
        <v>0</v>
      </c>
      <c r="I145" s="28">
        <v>0</v>
      </c>
      <c r="J145" s="145">
        <v>14</v>
      </c>
      <c r="K145" s="131">
        <v>4</v>
      </c>
      <c r="L145" s="126">
        <v>19</v>
      </c>
      <c r="M145" s="136">
        <v>2</v>
      </c>
      <c r="N145" s="146">
        <v>8</v>
      </c>
      <c r="O145" s="147">
        <v>1</v>
      </c>
      <c r="P145" s="19">
        <v>0</v>
      </c>
      <c r="Q145" s="127">
        <v>1</v>
      </c>
      <c r="R145" s="74">
        <f t="shared" si="17"/>
        <v>41</v>
      </c>
      <c r="S145" s="75">
        <f t="shared" si="16"/>
        <v>8</v>
      </c>
      <c r="T145" s="8">
        <f t="shared" si="18"/>
        <v>0.1951219512195122</v>
      </c>
      <c r="U145" s="9">
        <f t="shared" si="19"/>
        <v>49</v>
      </c>
      <c r="V145" s="3"/>
      <c r="W145" s="2"/>
      <c r="X145" s="2">
        <v>-2</v>
      </c>
      <c r="Y145" s="2">
        <v>1</v>
      </c>
      <c r="Z145" s="2">
        <v>2</v>
      </c>
      <c r="AA145" s="2"/>
      <c r="AB145" s="2">
        <v>1</v>
      </c>
      <c r="AC145" s="2"/>
      <c r="AD145" s="2"/>
      <c r="AE145" s="2">
        <v>1</v>
      </c>
      <c r="AF145" s="2" t="s">
        <v>148</v>
      </c>
      <c r="AG145" s="2" t="s">
        <v>57</v>
      </c>
      <c r="AH145" s="2"/>
      <c r="AI145" s="2"/>
      <c r="AJ145" s="212" t="s">
        <v>925</v>
      </c>
      <c r="AK145" s="2" t="s">
        <v>881</v>
      </c>
      <c r="AL145" s="2" t="s">
        <v>791</v>
      </c>
      <c r="AM145" s="48" t="s">
        <v>792</v>
      </c>
      <c r="AN145" s="4" t="s">
        <v>793</v>
      </c>
      <c r="AO145" s="2" t="s">
        <v>790</v>
      </c>
      <c r="AP145" s="33" t="s">
        <v>51</v>
      </c>
      <c r="AQ145" s="203" t="s">
        <v>108</v>
      </c>
      <c r="AR145" s="6" t="s">
        <v>54</v>
      </c>
      <c r="AS145" s="108" t="s">
        <v>53</v>
      </c>
      <c r="AT145" s="105" t="str">
        <f t="shared" si="21"/>
        <v>CG</v>
      </c>
      <c r="AU145" s="109" t="str">
        <f t="shared" si="20"/>
        <v>B</v>
      </c>
      <c r="AV145" s="110"/>
      <c r="AW145" s="111"/>
    </row>
    <row r="146" spans="1:49" ht="56.15" customHeight="1" thickBot="1" x14ac:dyDescent="0.4">
      <c r="A146" s="186">
        <v>142</v>
      </c>
      <c r="B146" s="2" t="s">
        <v>383</v>
      </c>
      <c r="C146" s="2" t="s">
        <v>52</v>
      </c>
      <c r="D146" s="14" t="s">
        <v>360</v>
      </c>
      <c r="E146" s="2"/>
      <c r="F146" s="7">
        <v>43296</v>
      </c>
      <c r="G146" s="7">
        <v>43310</v>
      </c>
      <c r="H146" s="27">
        <v>0</v>
      </c>
      <c r="I146" s="28">
        <v>0</v>
      </c>
      <c r="J146" s="29">
        <v>0</v>
      </c>
      <c r="K146" s="30">
        <v>0</v>
      </c>
      <c r="L146" s="31">
        <v>0</v>
      </c>
      <c r="M146" s="32">
        <v>0</v>
      </c>
      <c r="N146" s="153">
        <v>8</v>
      </c>
      <c r="O146" s="147">
        <v>2</v>
      </c>
      <c r="P146" s="19">
        <v>0</v>
      </c>
      <c r="Q146" s="35">
        <v>0</v>
      </c>
      <c r="R146" s="74">
        <f t="shared" si="17"/>
        <v>8</v>
      </c>
      <c r="S146" s="75">
        <f t="shared" si="16"/>
        <v>2</v>
      </c>
      <c r="T146" s="8">
        <f t="shared" si="18"/>
        <v>0.25</v>
      </c>
      <c r="U146" s="9">
        <f t="shared" si="19"/>
        <v>10</v>
      </c>
      <c r="V146" s="3"/>
      <c r="W146" s="2"/>
      <c r="X146" s="2"/>
      <c r="Y146" s="2"/>
      <c r="Z146" s="2"/>
      <c r="AA146" s="2"/>
      <c r="AB146" s="2"/>
      <c r="AC146" s="2"/>
      <c r="AD146" s="2"/>
      <c r="AE146" s="2"/>
      <c r="AF146" s="2" t="s">
        <v>65</v>
      </c>
      <c r="AG146" s="2" t="s">
        <v>798</v>
      </c>
      <c r="AH146" s="2"/>
      <c r="AI146" s="2"/>
      <c r="AJ146" s="212" t="s">
        <v>799</v>
      </c>
      <c r="AK146" s="2" t="s">
        <v>883</v>
      </c>
      <c r="AL146" s="2" t="s">
        <v>796</v>
      </c>
      <c r="AM146" s="48" t="s">
        <v>797</v>
      </c>
      <c r="AN146" s="4">
        <v>679465156</v>
      </c>
      <c r="AO146" s="2" t="s">
        <v>796</v>
      </c>
      <c r="AP146" s="33" t="s">
        <v>51</v>
      </c>
      <c r="AQ146" s="203" t="s">
        <v>800</v>
      </c>
      <c r="AR146" s="6" t="s">
        <v>52</v>
      </c>
      <c r="AS146" s="108" t="s">
        <v>53</v>
      </c>
      <c r="AT146" s="105" t="str">
        <f t="shared" si="21"/>
        <v>CUA</v>
      </c>
      <c r="AU146" s="109" t="str">
        <f t="shared" si="20"/>
        <v>A</v>
      </c>
      <c r="AV146" s="110"/>
      <c r="AW146" s="111"/>
    </row>
    <row r="147" spans="1:49" s="89" customFormat="1" ht="56.15" customHeight="1" thickBot="1" x14ac:dyDescent="0.4">
      <c r="A147" s="196">
        <v>143</v>
      </c>
      <c r="B147" s="81" t="s">
        <v>90</v>
      </c>
      <c r="C147" s="81" t="s">
        <v>52</v>
      </c>
      <c r="D147" s="14" t="s">
        <v>360</v>
      </c>
      <c r="E147" s="81"/>
      <c r="F147" s="83">
        <v>43308</v>
      </c>
      <c r="G147" s="83">
        <v>43325</v>
      </c>
      <c r="H147" s="52">
        <v>0</v>
      </c>
      <c r="I147" s="53">
        <v>0</v>
      </c>
      <c r="J147" s="84">
        <v>0</v>
      </c>
      <c r="K147" s="54">
        <v>0</v>
      </c>
      <c r="L147" s="85">
        <v>0</v>
      </c>
      <c r="M147" s="50">
        <v>0</v>
      </c>
      <c r="N147" s="197">
        <v>10</v>
      </c>
      <c r="O147" s="198">
        <v>2</v>
      </c>
      <c r="P147" s="51">
        <v>0</v>
      </c>
      <c r="Q147" s="55">
        <v>0</v>
      </c>
      <c r="R147" s="74">
        <f t="shared" si="17"/>
        <v>10</v>
      </c>
      <c r="S147" s="75">
        <f t="shared" si="16"/>
        <v>2</v>
      </c>
      <c r="T147" s="8">
        <f t="shared" si="18"/>
        <v>0.2</v>
      </c>
      <c r="U147" s="9">
        <f t="shared" si="19"/>
        <v>12</v>
      </c>
      <c r="V147" s="86"/>
      <c r="W147" s="81"/>
      <c r="X147" s="81"/>
      <c r="Y147" s="81"/>
      <c r="Z147" s="81"/>
      <c r="AA147" s="81"/>
      <c r="AB147" s="81"/>
      <c r="AC147" s="81"/>
      <c r="AD147" s="81"/>
      <c r="AE147" s="81"/>
      <c r="AF147" s="2" t="s">
        <v>148</v>
      </c>
      <c r="AG147" s="81"/>
      <c r="AH147" s="81"/>
      <c r="AI147" s="81" t="s">
        <v>522</v>
      </c>
      <c r="AJ147" s="215" t="s">
        <v>86</v>
      </c>
      <c r="AK147" s="81" t="s">
        <v>884</v>
      </c>
      <c r="AL147" s="81" t="s">
        <v>801</v>
      </c>
      <c r="AM147" s="121" t="s">
        <v>802</v>
      </c>
      <c r="AN147" s="82">
        <v>637684343</v>
      </c>
      <c r="AO147" s="81" t="s">
        <v>803</v>
      </c>
      <c r="AP147" s="88" t="s">
        <v>87</v>
      </c>
      <c r="AQ147" s="206"/>
      <c r="AR147" s="87"/>
      <c r="AS147" s="113" t="s">
        <v>53</v>
      </c>
      <c r="AT147" s="105" t="str">
        <f t="shared" si="21"/>
        <v>CUA</v>
      </c>
      <c r="AU147" s="109" t="str">
        <f t="shared" si="20"/>
        <v>A</v>
      </c>
      <c r="AV147" s="114"/>
      <c r="AW147" s="115"/>
    </row>
    <row r="148" spans="1:49" ht="56.15" customHeight="1" thickBot="1" x14ac:dyDescent="0.4">
      <c r="A148" s="186">
        <v>144</v>
      </c>
      <c r="B148" s="2" t="s">
        <v>804</v>
      </c>
      <c r="C148" s="2" t="s">
        <v>246</v>
      </c>
      <c r="D148" s="2" t="s">
        <v>64</v>
      </c>
      <c r="E148" s="2"/>
      <c r="F148" s="7">
        <v>43290</v>
      </c>
      <c r="G148" s="7">
        <v>43308</v>
      </c>
      <c r="H148" s="152">
        <v>5</v>
      </c>
      <c r="I148" s="139">
        <v>1</v>
      </c>
      <c r="J148" s="124">
        <v>3</v>
      </c>
      <c r="K148" s="134">
        <v>1</v>
      </c>
      <c r="L148" s="135">
        <v>23</v>
      </c>
      <c r="M148" s="130">
        <v>5</v>
      </c>
      <c r="N148" s="153">
        <v>3</v>
      </c>
      <c r="O148" s="151">
        <v>0</v>
      </c>
      <c r="P148" s="19">
        <v>0</v>
      </c>
      <c r="Q148" s="127">
        <v>5</v>
      </c>
      <c r="R148" s="74">
        <f t="shared" si="17"/>
        <v>34</v>
      </c>
      <c r="S148" s="75">
        <f t="shared" si="16"/>
        <v>12</v>
      </c>
      <c r="T148" s="8">
        <f t="shared" si="18"/>
        <v>0.35294117647058826</v>
      </c>
      <c r="U148" s="9">
        <f t="shared" si="19"/>
        <v>46</v>
      </c>
      <c r="V148" s="3"/>
      <c r="W148" s="2"/>
      <c r="X148" s="2">
        <v>-2</v>
      </c>
      <c r="Y148" s="2"/>
      <c r="Z148" s="2">
        <v>-1</v>
      </c>
      <c r="AA148" s="2">
        <v>2</v>
      </c>
      <c r="AB148" s="2"/>
      <c r="AC148" s="2"/>
      <c r="AD148" s="2"/>
      <c r="AE148" s="2">
        <v>1</v>
      </c>
      <c r="AF148" s="2" t="s">
        <v>148</v>
      </c>
      <c r="AG148" s="2" t="s">
        <v>805</v>
      </c>
      <c r="AH148" s="2"/>
      <c r="AI148" s="2"/>
      <c r="AJ148" s="212" t="s">
        <v>917</v>
      </c>
      <c r="AK148" s="2" t="s">
        <v>885</v>
      </c>
      <c r="AL148" s="2" t="s">
        <v>570</v>
      </c>
      <c r="AM148" s="48" t="s">
        <v>571</v>
      </c>
      <c r="AN148" s="4">
        <v>688393754</v>
      </c>
      <c r="AO148" s="2" t="s">
        <v>570</v>
      </c>
      <c r="AP148" s="33" t="s">
        <v>51</v>
      </c>
      <c r="AQ148" s="203" t="s">
        <v>737</v>
      </c>
      <c r="AR148" s="6" t="s">
        <v>461</v>
      </c>
      <c r="AS148" s="108" t="s">
        <v>53</v>
      </c>
      <c r="AT148" s="105" t="str">
        <f t="shared" si="21"/>
        <v>CG</v>
      </c>
      <c r="AU148" s="109" t="str">
        <f t="shared" si="20"/>
        <v>B</v>
      </c>
      <c r="AV148" s="110"/>
      <c r="AW148" s="111"/>
    </row>
    <row r="149" spans="1:49" ht="56.15" customHeight="1" thickBot="1" x14ac:dyDescent="0.4">
      <c r="A149" s="186">
        <v>145</v>
      </c>
      <c r="B149" s="2" t="s">
        <v>806</v>
      </c>
      <c r="C149" s="2" t="s">
        <v>52</v>
      </c>
      <c r="D149" s="2" t="s">
        <v>361</v>
      </c>
      <c r="E149" s="2"/>
      <c r="F149" s="7">
        <v>43314</v>
      </c>
      <c r="G149" s="7">
        <v>43323</v>
      </c>
      <c r="H149" s="142">
        <v>8</v>
      </c>
      <c r="I149" s="139">
        <v>4</v>
      </c>
      <c r="J149" s="29">
        <v>0</v>
      </c>
      <c r="K149" s="30">
        <v>0</v>
      </c>
      <c r="L149" s="31">
        <v>0</v>
      </c>
      <c r="M149" s="32">
        <v>0</v>
      </c>
      <c r="N149" s="17">
        <v>0</v>
      </c>
      <c r="O149" s="18">
        <v>0</v>
      </c>
      <c r="P149" s="19">
        <v>0</v>
      </c>
      <c r="Q149" s="35">
        <v>0</v>
      </c>
      <c r="R149" s="74">
        <f t="shared" si="17"/>
        <v>8</v>
      </c>
      <c r="S149" s="75">
        <f t="shared" si="16"/>
        <v>4</v>
      </c>
      <c r="T149" s="8">
        <f t="shared" si="18"/>
        <v>0.5</v>
      </c>
      <c r="U149" s="9">
        <f t="shared" si="19"/>
        <v>12</v>
      </c>
      <c r="V149" s="3">
        <v>-8</v>
      </c>
      <c r="W149" s="2"/>
      <c r="X149" s="2"/>
      <c r="Y149" s="2"/>
      <c r="Z149" s="2"/>
      <c r="AA149" s="2"/>
      <c r="AB149" s="2"/>
      <c r="AC149" s="2"/>
      <c r="AD149" s="2"/>
      <c r="AE149" s="2"/>
      <c r="AF149" s="2" t="s">
        <v>148</v>
      </c>
      <c r="AG149" s="2" t="s">
        <v>384</v>
      </c>
      <c r="AH149" s="2"/>
      <c r="AI149" s="2"/>
      <c r="AJ149" s="212" t="s">
        <v>919</v>
      </c>
      <c r="AK149" s="2" t="s">
        <v>885</v>
      </c>
      <c r="AL149" s="2" t="s">
        <v>261</v>
      </c>
      <c r="AM149" s="48" t="s">
        <v>262</v>
      </c>
      <c r="AN149" s="4">
        <v>651101926</v>
      </c>
      <c r="AO149" s="2" t="s">
        <v>273</v>
      </c>
      <c r="AP149" s="33" t="s">
        <v>122</v>
      </c>
      <c r="AQ149" s="203" t="s">
        <v>385</v>
      </c>
      <c r="AR149" s="6" t="s">
        <v>52</v>
      </c>
      <c r="AS149" s="108" t="s">
        <v>53</v>
      </c>
      <c r="AT149" s="105" t="str">
        <f t="shared" si="21"/>
        <v>CULI</v>
      </c>
      <c r="AU149" s="109" t="str">
        <f t="shared" si="20"/>
        <v>A</v>
      </c>
      <c r="AV149" s="110"/>
      <c r="AW149" s="111"/>
    </row>
    <row r="150" spans="1:49" ht="56.15" customHeight="1" thickBot="1" x14ac:dyDescent="0.4">
      <c r="A150" s="186">
        <v>146</v>
      </c>
      <c r="B150" s="2" t="s">
        <v>806</v>
      </c>
      <c r="C150" s="2" t="s">
        <v>52</v>
      </c>
      <c r="D150" s="14" t="s">
        <v>360</v>
      </c>
      <c r="E150" s="2"/>
      <c r="F150" s="7">
        <v>43321</v>
      </c>
      <c r="G150" s="7">
        <v>43335</v>
      </c>
      <c r="H150" s="27">
        <v>0</v>
      </c>
      <c r="I150" s="28">
        <v>0</v>
      </c>
      <c r="J150" s="29">
        <v>0</v>
      </c>
      <c r="K150" s="30">
        <v>0</v>
      </c>
      <c r="L150" s="31">
        <v>0</v>
      </c>
      <c r="M150" s="32">
        <v>0</v>
      </c>
      <c r="N150" s="149">
        <v>15</v>
      </c>
      <c r="O150" s="147">
        <v>3</v>
      </c>
      <c r="P150" s="19">
        <v>0</v>
      </c>
      <c r="Q150" s="35">
        <v>0</v>
      </c>
      <c r="R150" s="74">
        <f t="shared" si="17"/>
        <v>15</v>
      </c>
      <c r="S150" s="75">
        <f t="shared" si="16"/>
        <v>3</v>
      </c>
      <c r="T150" s="8">
        <f t="shared" si="18"/>
        <v>0.2</v>
      </c>
      <c r="U150" s="9">
        <f t="shared" si="19"/>
        <v>18</v>
      </c>
      <c r="V150" s="3"/>
      <c r="W150" s="2"/>
      <c r="X150" s="2"/>
      <c r="Y150" s="2"/>
      <c r="Z150" s="2"/>
      <c r="AA150" s="2"/>
      <c r="AB150" s="2">
        <v>-3</v>
      </c>
      <c r="AC150" s="2"/>
      <c r="AD150" s="2"/>
      <c r="AE150" s="2"/>
      <c r="AF150" s="2" t="s">
        <v>148</v>
      </c>
      <c r="AG150" s="2" t="s">
        <v>384</v>
      </c>
      <c r="AH150" s="2"/>
      <c r="AI150" s="2"/>
      <c r="AJ150" s="212" t="s">
        <v>919</v>
      </c>
      <c r="AK150" s="2" t="s">
        <v>885</v>
      </c>
      <c r="AL150" s="2" t="s">
        <v>771</v>
      </c>
      <c r="AM150" s="48" t="s">
        <v>772</v>
      </c>
      <c r="AN150" s="4">
        <v>619665342</v>
      </c>
      <c r="AO150" s="2" t="s">
        <v>273</v>
      </c>
      <c r="AP150" s="33" t="s">
        <v>122</v>
      </c>
      <c r="AQ150" s="203" t="s">
        <v>385</v>
      </c>
      <c r="AR150" s="6" t="s">
        <v>52</v>
      </c>
      <c r="AS150" s="108" t="s">
        <v>53</v>
      </c>
      <c r="AT150" s="105" t="str">
        <f t="shared" si="21"/>
        <v>CUA</v>
      </c>
      <c r="AU150" s="109" t="str">
        <f t="shared" si="20"/>
        <v>A</v>
      </c>
      <c r="AV150" s="110"/>
      <c r="AW150" s="111"/>
    </row>
    <row r="151" spans="1:49" ht="77.25" customHeight="1" thickBot="1" x14ac:dyDescent="0.4">
      <c r="A151" s="186">
        <v>147</v>
      </c>
      <c r="B151" s="2" t="s">
        <v>197</v>
      </c>
      <c r="C151" s="2" t="s">
        <v>175</v>
      </c>
      <c r="D151" s="2" t="s">
        <v>351</v>
      </c>
      <c r="E151" s="2" t="s">
        <v>200</v>
      </c>
      <c r="F151" s="7">
        <v>43289</v>
      </c>
      <c r="G151" s="7">
        <v>43311</v>
      </c>
      <c r="H151" s="152">
        <v>10</v>
      </c>
      <c r="I151" s="139">
        <v>2</v>
      </c>
      <c r="J151" s="150">
        <v>0</v>
      </c>
      <c r="K151" s="134">
        <v>0</v>
      </c>
      <c r="L151" s="126">
        <v>26</v>
      </c>
      <c r="M151" s="130">
        <v>4</v>
      </c>
      <c r="N151" s="17">
        <v>0</v>
      </c>
      <c r="O151" s="18">
        <v>0</v>
      </c>
      <c r="P151" s="19">
        <v>0</v>
      </c>
      <c r="Q151" s="138">
        <v>1</v>
      </c>
      <c r="R151" s="74">
        <f t="shared" si="17"/>
        <v>36</v>
      </c>
      <c r="S151" s="75">
        <f t="shared" si="16"/>
        <v>7</v>
      </c>
      <c r="T151" s="8">
        <f t="shared" si="18"/>
        <v>0.19444444444444445</v>
      </c>
      <c r="U151" s="9">
        <f t="shared" si="19"/>
        <v>43</v>
      </c>
      <c r="V151" s="3"/>
      <c r="W151" s="2"/>
      <c r="X151" s="2"/>
      <c r="Y151" s="2"/>
      <c r="Z151" s="2">
        <v>1</v>
      </c>
      <c r="AA151" s="2">
        <v>1</v>
      </c>
      <c r="AB151" s="2"/>
      <c r="AC151" s="2"/>
      <c r="AD151" s="2"/>
      <c r="AE151" s="2"/>
      <c r="AF151" s="2" t="s">
        <v>148</v>
      </c>
      <c r="AG151" s="2" t="s">
        <v>201</v>
      </c>
      <c r="AH151" s="2"/>
      <c r="AI151" s="2"/>
      <c r="AJ151" s="212" t="s">
        <v>807</v>
      </c>
      <c r="AK151" s="2" t="s">
        <v>883</v>
      </c>
      <c r="AL151" s="2" t="s">
        <v>808</v>
      </c>
      <c r="AM151" s="48" t="s">
        <v>809</v>
      </c>
      <c r="AN151" s="4">
        <v>647612214</v>
      </c>
      <c r="AO151" s="2" t="s">
        <v>198</v>
      </c>
      <c r="AP151" s="33" t="s">
        <v>51</v>
      </c>
      <c r="AQ151" s="203" t="s">
        <v>204</v>
      </c>
      <c r="AR151" s="6" t="s">
        <v>43</v>
      </c>
      <c r="AS151" s="108" t="s">
        <v>53</v>
      </c>
      <c r="AT151" s="105" t="str">
        <f t="shared" si="21"/>
        <v>CGG</v>
      </c>
      <c r="AU151" s="109" t="str">
        <f t="shared" si="20"/>
        <v>B</v>
      </c>
      <c r="AV151" s="110"/>
      <c r="AW151" s="111"/>
    </row>
    <row r="152" spans="1:49" ht="56.15" customHeight="1" thickBot="1" x14ac:dyDescent="0.4">
      <c r="A152" s="154">
        <v>148</v>
      </c>
      <c r="B152" s="2" t="s">
        <v>810</v>
      </c>
      <c r="C152" s="2" t="s">
        <v>246</v>
      </c>
      <c r="D152" s="2" t="s">
        <v>64</v>
      </c>
      <c r="E152" s="2"/>
      <c r="F152" s="7">
        <v>43290</v>
      </c>
      <c r="G152" s="7">
        <v>43306</v>
      </c>
      <c r="H152" s="142">
        <v>7</v>
      </c>
      <c r="I152" s="139">
        <v>3</v>
      </c>
      <c r="J152" s="129">
        <v>24</v>
      </c>
      <c r="K152" s="134">
        <v>8</v>
      </c>
      <c r="L152" s="132">
        <v>19</v>
      </c>
      <c r="M152" s="148">
        <v>5</v>
      </c>
      <c r="N152" s="146">
        <v>13</v>
      </c>
      <c r="O152" s="147">
        <v>1</v>
      </c>
      <c r="P152" s="165">
        <v>0</v>
      </c>
      <c r="Q152" s="144">
        <v>0</v>
      </c>
      <c r="R152" s="74">
        <f t="shared" si="17"/>
        <v>63</v>
      </c>
      <c r="S152" s="75">
        <f t="shared" si="16"/>
        <v>17</v>
      </c>
      <c r="T152" s="8">
        <f t="shared" si="18"/>
        <v>0.26984126984126983</v>
      </c>
      <c r="U152" s="9">
        <f t="shared" si="19"/>
        <v>80</v>
      </c>
      <c r="V152" s="3">
        <v>-1</v>
      </c>
      <c r="W152" s="2"/>
      <c r="X152" s="2">
        <v>6</v>
      </c>
      <c r="Y152" s="2"/>
      <c r="Z152" s="2">
        <v>-5</v>
      </c>
      <c r="AA152" s="2">
        <v>-1</v>
      </c>
      <c r="AB152" s="2">
        <v>1</v>
      </c>
      <c r="AC152" s="2"/>
      <c r="AD152" s="2"/>
      <c r="AE152" s="2">
        <v>-2</v>
      </c>
      <c r="AF152" s="2" t="s">
        <v>148</v>
      </c>
      <c r="AG152" s="2" t="s">
        <v>813</v>
      </c>
      <c r="AH152" s="2"/>
      <c r="AI152" s="2"/>
      <c r="AJ152" s="212" t="s">
        <v>814</v>
      </c>
      <c r="AK152" s="2" t="s">
        <v>887</v>
      </c>
      <c r="AL152" s="2" t="s">
        <v>811</v>
      </c>
      <c r="AM152" s="48" t="s">
        <v>812</v>
      </c>
      <c r="AN152" s="4">
        <v>686998584</v>
      </c>
      <c r="AO152" s="6" t="s">
        <v>811</v>
      </c>
      <c r="AP152" s="33" t="s">
        <v>51</v>
      </c>
      <c r="AQ152" s="203" t="s">
        <v>506</v>
      </c>
      <c r="AR152" s="6" t="s">
        <v>52</v>
      </c>
      <c r="AS152" s="108" t="s">
        <v>53</v>
      </c>
      <c r="AT152" s="105" t="str">
        <f t="shared" si="21"/>
        <v>CG</v>
      </c>
      <c r="AU152" s="109" t="str">
        <f t="shared" si="20"/>
        <v>C</v>
      </c>
      <c r="AV152" s="110"/>
      <c r="AW152" s="111"/>
    </row>
    <row r="153" spans="1:49" ht="56.15" customHeight="1" thickBot="1" x14ac:dyDescent="0.4">
      <c r="A153" s="154">
        <v>149</v>
      </c>
      <c r="B153" s="2" t="s">
        <v>815</v>
      </c>
      <c r="C153" s="2" t="s">
        <v>43</v>
      </c>
      <c r="D153" s="2" t="s">
        <v>64</v>
      </c>
      <c r="E153" s="2"/>
      <c r="F153" s="7">
        <v>43290</v>
      </c>
      <c r="G153" s="7">
        <v>43303</v>
      </c>
      <c r="H153" s="142">
        <v>3</v>
      </c>
      <c r="I153" s="168">
        <v>1</v>
      </c>
      <c r="J153" s="129">
        <v>13</v>
      </c>
      <c r="K153" s="134">
        <v>3</v>
      </c>
      <c r="L153" s="126">
        <v>17</v>
      </c>
      <c r="M153" s="136">
        <v>2</v>
      </c>
      <c r="N153" s="153">
        <v>0</v>
      </c>
      <c r="O153" s="147">
        <v>0</v>
      </c>
      <c r="P153" s="165">
        <v>0</v>
      </c>
      <c r="Q153" s="144">
        <v>0</v>
      </c>
      <c r="R153" s="74">
        <f t="shared" si="17"/>
        <v>33</v>
      </c>
      <c r="S153" s="75">
        <f t="shared" si="16"/>
        <v>6</v>
      </c>
      <c r="T153" s="8">
        <f t="shared" si="18"/>
        <v>0.18181818181818182</v>
      </c>
      <c r="U153" s="9">
        <f t="shared" si="19"/>
        <v>39</v>
      </c>
      <c r="V153" s="3">
        <v>-3</v>
      </c>
      <c r="W153" s="2">
        <v>-1</v>
      </c>
      <c r="X153" s="2">
        <v>1</v>
      </c>
      <c r="Y153" s="2"/>
      <c r="Z153" s="2">
        <v>3</v>
      </c>
      <c r="AA153" s="2"/>
      <c r="AB153" s="2"/>
      <c r="AC153" s="2"/>
      <c r="AD153" s="2"/>
      <c r="AE153" s="2">
        <v>-2</v>
      </c>
      <c r="AF153" s="2" t="s">
        <v>65</v>
      </c>
      <c r="AG153" s="2" t="s">
        <v>818</v>
      </c>
      <c r="AH153" s="2"/>
      <c r="AI153" s="2" t="s">
        <v>60</v>
      </c>
      <c r="AJ153" s="212" t="s">
        <v>819</v>
      </c>
      <c r="AK153" s="2" t="s">
        <v>883</v>
      </c>
      <c r="AL153" s="2" t="s">
        <v>816</v>
      </c>
      <c r="AM153" s="1" t="s">
        <v>817</v>
      </c>
      <c r="AN153" s="4">
        <v>673914375</v>
      </c>
      <c r="AO153" s="2" t="s">
        <v>816</v>
      </c>
      <c r="AP153" s="33" t="s">
        <v>51</v>
      </c>
      <c r="AQ153" s="203" t="s">
        <v>820</v>
      </c>
      <c r="AR153" s="6" t="s">
        <v>43</v>
      </c>
      <c r="AS153" s="108" t="s">
        <v>53</v>
      </c>
      <c r="AT153" s="105" t="str">
        <f t="shared" si="21"/>
        <v>CG</v>
      </c>
      <c r="AU153" s="109" t="str">
        <f t="shared" si="20"/>
        <v>B</v>
      </c>
      <c r="AV153" s="110"/>
      <c r="AW153" s="111"/>
    </row>
    <row r="154" spans="1:49" ht="30.75" customHeight="1" thickBot="1" x14ac:dyDescent="0.4">
      <c r="A154" s="186">
        <v>150</v>
      </c>
      <c r="B154" s="2" t="s">
        <v>657</v>
      </c>
      <c r="C154" s="2" t="s">
        <v>461</v>
      </c>
      <c r="D154" s="14" t="s">
        <v>360</v>
      </c>
      <c r="E154" s="2"/>
      <c r="F154" s="7">
        <v>43311</v>
      </c>
      <c r="G154" s="7">
        <v>43342</v>
      </c>
      <c r="H154" s="27">
        <v>0</v>
      </c>
      <c r="I154" s="28">
        <v>0</v>
      </c>
      <c r="J154" s="29">
        <v>0</v>
      </c>
      <c r="K154" s="30">
        <v>0</v>
      </c>
      <c r="L154" s="31">
        <v>0</v>
      </c>
      <c r="M154" s="32">
        <v>0</v>
      </c>
      <c r="N154" s="189">
        <v>10</v>
      </c>
      <c r="O154" s="18">
        <v>2</v>
      </c>
      <c r="P154" s="19">
        <v>0</v>
      </c>
      <c r="Q154" s="35">
        <v>0</v>
      </c>
      <c r="R154" s="74">
        <f t="shared" si="17"/>
        <v>10</v>
      </c>
      <c r="S154" s="75">
        <f t="shared" si="16"/>
        <v>2</v>
      </c>
      <c r="T154" s="8">
        <f t="shared" si="18"/>
        <v>0.2</v>
      </c>
      <c r="U154" s="9">
        <f t="shared" si="19"/>
        <v>12</v>
      </c>
      <c r="V154" s="3"/>
      <c r="W154" s="2"/>
      <c r="X154" s="2"/>
      <c r="Y154" s="2"/>
      <c r="Z154" s="2"/>
      <c r="AA154" s="2"/>
      <c r="AB154" s="2">
        <v>-1</v>
      </c>
      <c r="AC154" s="2"/>
      <c r="AD154" s="2"/>
      <c r="AE154" s="2"/>
      <c r="AF154" s="2" t="s">
        <v>148</v>
      </c>
      <c r="AG154" s="2"/>
      <c r="AH154" s="2" t="s">
        <v>821</v>
      </c>
      <c r="AI154" s="2"/>
      <c r="AJ154" s="212" t="s">
        <v>133</v>
      </c>
      <c r="AK154" s="2" t="s">
        <v>884</v>
      </c>
      <c r="AL154" s="2" t="s">
        <v>643</v>
      </c>
      <c r="AM154" s="1" t="s">
        <v>644</v>
      </c>
      <c r="AN154" s="4">
        <v>672277697</v>
      </c>
      <c r="AO154" s="2" t="s">
        <v>658</v>
      </c>
      <c r="AP154" s="33" t="s">
        <v>87</v>
      </c>
      <c r="AQ154" s="203"/>
      <c r="AR154" s="6"/>
      <c r="AS154" s="108" t="s">
        <v>53</v>
      </c>
      <c r="AT154" s="105" t="str">
        <f t="shared" si="21"/>
        <v>CUA</v>
      </c>
      <c r="AU154" s="109" t="str">
        <f t="shared" si="20"/>
        <v>A</v>
      </c>
      <c r="AV154" s="110"/>
      <c r="AW154" s="111"/>
    </row>
    <row r="155" spans="1:49" ht="60" customHeight="1" thickBot="1" x14ac:dyDescent="0.4">
      <c r="A155" s="186">
        <v>151</v>
      </c>
      <c r="B155" s="2" t="s">
        <v>460</v>
      </c>
      <c r="C155" s="2" t="s">
        <v>461</v>
      </c>
      <c r="D155" s="2" t="s">
        <v>178</v>
      </c>
      <c r="E155" s="2"/>
      <c r="F155" s="7">
        <v>43294</v>
      </c>
      <c r="G155" s="7">
        <v>43308</v>
      </c>
      <c r="H155" s="152">
        <v>0</v>
      </c>
      <c r="I155" s="139">
        <v>0</v>
      </c>
      <c r="J155" s="145">
        <v>17</v>
      </c>
      <c r="K155" s="134">
        <v>6</v>
      </c>
      <c r="L155" s="166">
        <v>0</v>
      </c>
      <c r="M155" s="136">
        <v>0</v>
      </c>
      <c r="N155" s="153">
        <v>0</v>
      </c>
      <c r="O155" s="147">
        <v>0</v>
      </c>
      <c r="P155" s="165">
        <v>0</v>
      </c>
      <c r="Q155" s="138">
        <v>0</v>
      </c>
      <c r="R155" s="74">
        <f t="shared" si="17"/>
        <v>17</v>
      </c>
      <c r="S155" s="75">
        <f t="shared" si="16"/>
        <v>6</v>
      </c>
      <c r="T155" s="8">
        <f t="shared" si="18"/>
        <v>0.35294117647058826</v>
      </c>
      <c r="U155" s="9">
        <f t="shared" si="19"/>
        <v>23</v>
      </c>
      <c r="V155" s="3"/>
      <c r="W155" s="2"/>
      <c r="X155" s="2">
        <v>-1</v>
      </c>
      <c r="Y155" s="2"/>
      <c r="Z155" s="2"/>
      <c r="AA155" s="2"/>
      <c r="AB155" s="2"/>
      <c r="AC155" s="2"/>
      <c r="AD155" s="2"/>
      <c r="AE155" s="2"/>
      <c r="AF155" s="2" t="s">
        <v>65</v>
      </c>
      <c r="AG155" s="2" t="s">
        <v>822</v>
      </c>
      <c r="AH155" s="2"/>
      <c r="AI155" s="2"/>
      <c r="AJ155" s="212" t="s">
        <v>823</v>
      </c>
      <c r="AK155" s="2" t="s">
        <v>886</v>
      </c>
      <c r="AL155" s="2" t="s">
        <v>824</v>
      </c>
      <c r="AM155" s="5" t="s">
        <v>825</v>
      </c>
      <c r="AN155" s="4">
        <v>632421495</v>
      </c>
      <c r="AO155" s="2" t="s">
        <v>732</v>
      </c>
      <c r="AP155" s="33" t="s">
        <v>51</v>
      </c>
      <c r="AQ155" s="203" t="s">
        <v>656</v>
      </c>
      <c r="AR155" s="11" t="s">
        <v>461</v>
      </c>
      <c r="AS155" s="108" t="s">
        <v>53</v>
      </c>
      <c r="AT155" s="105" t="str">
        <f t="shared" si="21"/>
        <v>CULO</v>
      </c>
      <c r="AU155" s="109" t="str">
        <f t="shared" si="20"/>
        <v>A</v>
      </c>
      <c r="AV155" s="110"/>
      <c r="AW155" s="111"/>
    </row>
    <row r="156" spans="1:49" ht="35.25" customHeight="1" thickBot="1" x14ac:dyDescent="0.4">
      <c r="A156" s="154">
        <v>152</v>
      </c>
      <c r="B156" s="2" t="s">
        <v>545</v>
      </c>
      <c r="C156" s="2" t="s">
        <v>461</v>
      </c>
      <c r="D156" s="14" t="s">
        <v>360</v>
      </c>
      <c r="E156" s="2"/>
      <c r="F156" s="7">
        <v>43290</v>
      </c>
      <c r="G156" s="7">
        <v>43304</v>
      </c>
      <c r="H156" s="27">
        <v>0</v>
      </c>
      <c r="I156" s="28">
        <v>0</v>
      </c>
      <c r="J156" s="29">
        <v>0</v>
      </c>
      <c r="K156" s="30">
        <v>0</v>
      </c>
      <c r="L156" s="31">
        <v>0</v>
      </c>
      <c r="M156" s="32">
        <v>0</v>
      </c>
      <c r="N156" s="153">
        <v>15</v>
      </c>
      <c r="O156" s="147">
        <v>2</v>
      </c>
      <c r="P156" s="19">
        <v>0</v>
      </c>
      <c r="Q156" s="35">
        <v>0</v>
      </c>
      <c r="R156" s="74">
        <f t="shared" si="17"/>
        <v>15</v>
      </c>
      <c r="S156" s="75">
        <f t="shared" si="16"/>
        <v>2</v>
      </c>
      <c r="T156" s="8">
        <f t="shared" si="18"/>
        <v>0.13333333333333333</v>
      </c>
      <c r="U156" s="9">
        <f t="shared" si="19"/>
        <v>17</v>
      </c>
      <c r="V156" s="3"/>
      <c r="W156" s="2"/>
      <c r="X156" s="2"/>
      <c r="Y156" s="2"/>
      <c r="Z156" s="2"/>
      <c r="AA156" s="2"/>
      <c r="AB156" s="2"/>
      <c r="AC156" s="2"/>
      <c r="AD156" s="2"/>
      <c r="AE156" s="2"/>
      <c r="AF156" s="2" t="s">
        <v>65</v>
      </c>
      <c r="AG156" s="2" t="s">
        <v>826</v>
      </c>
      <c r="AH156" s="2"/>
      <c r="AI156" s="2"/>
      <c r="AJ156" s="212" t="s">
        <v>827</v>
      </c>
      <c r="AK156" s="2" t="s">
        <v>886</v>
      </c>
      <c r="AL156" s="2" t="s">
        <v>828</v>
      </c>
      <c r="AM156" s="1" t="s">
        <v>829</v>
      </c>
      <c r="AN156" s="4">
        <v>670381108</v>
      </c>
      <c r="AO156" s="2" t="s">
        <v>546</v>
      </c>
      <c r="AP156" s="33" t="s">
        <v>51</v>
      </c>
      <c r="AQ156" s="203" t="s">
        <v>51</v>
      </c>
      <c r="AR156" s="6" t="s">
        <v>461</v>
      </c>
      <c r="AS156" s="108" t="s">
        <v>53</v>
      </c>
      <c r="AT156" s="105" t="str">
        <f t="shared" si="21"/>
        <v>CUA</v>
      </c>
      <c r="AU156" s="109" t="str">
        <f t="shared" si="20"/>
        <v>A</v>
      </c>
      <c r="AV156" s="110"/>
      <c r="AW156" s="111"/>
    </row>
    <row r="157" spans="1:49" ht="30.75" customHeight="1" thickBot="1" x14ac:dyDescent="0.4">
      <c r="A157" s="186">
        <v>153</v>
      </c>
      <c r="B157" s="2" t="s">
        <v>830</v>
      </c>
      <c r="C157" s="2" t="s">
        <v>461</v>
      </c>
      <c r="D157" s="2" t="s">
        <v>351</v>
      </c>
      <c r="E157" s="2" t="s">
        <v>831</v>
      </c>
      <c r="F157" s="7">
        <v>43290</v>
      </c>
      <c r="G157" s="7">
        <v>43303</v>
      </c>
      <c r="H157" s="128">
        <v>14</v>
      </c>
      <c r="I157" s="133">
        <v>4</v>
      </c>
      <c r="J157" s="129">
        <v>23</v>
      </c>
      <c r="K157" s="30">
        <v>4</v>
      </c>
      <c r="L157" s="31">
        <v>25</v>
      </c>
      <c r="M157" s="32">
        <v>4</v>
      </c>
      <c r="N157" s="17">
        <v>0</v>
      </c>
      <c r="O157" s="18">
        <v>0</v>
      </c>
      <c r="P157" s="19">
        <v>0</v>
      </c>
      <c r="Q157" s="127">
        <v>1</v>
      </c>
      <c r="R157" s="74">
        <f t="shared" si="17"/>
        <v>62</v>
      </c>
      <c r="S157" s="75">
        <f t="shared" si="16"/>
        <v>13</v>
      </c>
      <c r="T157" s="8">
        <f t="shared" si="18"/>
        <v>0.20967741935483872</v>
      </c>
      <c r="U157" s="9">
        <f t="shared" si="19"/>
        <v>75</v>
      </c>
      <c r="V157" s="3">
        <v>-1</v>
      </c>
      <c r="W157" s="2">
        <v>1</v>
      </c>
      <c r="X157" s="2">
        <v>1</v>
      </c>
      <c r="Y157" s="2"/>
      <c r="Z157" s="2"/>
      <c r="AA157" s="2"/>
      <c r="AB157" s="2"/>
      <c r="AC157" s="2"/>
      <c r="AD157" s="2"/>
      <c r="AE157" s="2">
        <v>1</v>
      </c>
      <c r="AF157" s="2" t="s">
        <v>148</v>
      </c>
      <c r="AG157" s="2" t="s">
        <v>832</v>
      </c>
      <c r="AH157" s="2"/>
      <c r="AI157" s="2"/>
      <c r="AJ157" s="212" t="s">
        <v>833</v>
      </c>
      <c r="AK157" s="2" t="s">
        <v>882</v>
      </c>
      <c r="AL157" s="2" t="s">
        <v>834</v>
      </c>
      <c r="AM157" s="5" t="s">
        <v>835</v>
      </c>
      <c r="AN157" s="2" t="s">
        <v>836</v>
      </c>
      <c r="AO157" s="2" t="s">
        <v>837</v>
      </c>
      <c r="AP157" s="33" t="s">
        <v>51</v>
      </c>
      <c r="AQ157" s="203" t="s">
        <v>459</v>
      </c>
      <c r="AR157" s="6" t="s">
        <v>54</v>
      </c>
      <c r="AS157" s="108" t="s">
        <v>53</v>
      </c>
      <c r="AT157" s="105" t="str">
        <f t="shared" si="21"/>
        <v>CGG</v>
      </c>
      <c r="AU157" s="109" t="str">
        <f t="shared" si="20"/>
        <v>C</v>
      </c>
      <c r="AV157" s="110"/>
      <c r="AW157" s="111"/>
    </row>
    <row r="158" spans="1:49" ht="34.5" customHeight="1" thickBot="1" x14ac:dyDescent="0.4">
      <c r="A158" s="186">
        <v>154</v>
      </c>
      <c r="B158" s="2" t="s">
        <v>806</v>
      </c>
      <c r="C158" s="2" t="s">
        <v>52</v>
      </c>
      <c r="D158" s="2" t="s">
        <v>669</v>
      </c>
      <c r="E158" s="2"/>
      <c r="F158" s="7">
        <v>43314</v>
      </c>
      <c r="G158" s="7">
        <v>43320</v>
      </c>
      <c r="H158" s="152">
        <v>2</v>
      </c>
      <c r="I158" s="139">
        <v>2</v>
      </c>
      <c r="J158" s="145">
        <v>0</v>
      </c>
      <c r="K158" s="143">
        <v>0</v>
      </c>
      <c r="L158" s="166">
        <v>1</v>
      </c>
      <c r="M158" s="136">
        <v>1</v>
      </c>
      <c r="N158" s="146">
        <v>1</v>
      </c>
      <c r="O158" s="167">
        <v>1</v>
      </c>
      <c r="P158" s="19">
        <v>0</v>
      </c>
      <c r="Q158" s="35">
        <v>0</v>
      </c>
      <c r="R158" s="74">
        <f t="shared" si="17"/>
        <v>4</v>
      </c>
      <c r="S158" s="75">
        <f t="shared" si="16"/>
        <v>4</v>
      </c>
      <c r="T158" s="8">
        <f t="shared" si="18"/>
        <v>1</v>
      </c>
      <c r="U158" s="9">
        <f t="shared" si="19"/>
        <v>8</v>
      </c>
      <c r="V158" s="3"/>
      <c r="W158" s="2"/>
      <c r="X158" s="2">
        <v>-1</v>
      </c>
      <c r="Y158" s="2">
        <v>-1</v>
      </c>
      <c r="Z158" s="2"/>
      <c r="AA158" s="2"/>
      <c r="AB158" s="2">
        <v>1</v>
      </c>
      <c r="AC158" s="2">
        <v>1</v>
      </c>
      <c r="AD158" s="2"/>
      <c r="AE158" s="2"/>
      <c r="AF158" s="2" t="s">
        <v>148</v>
      </c>
      <c r="AG158" s="2" t="s">
        <v>384</v>
      </c>
      <c r="AH158" s="2"/>
      <c r="AI158" s="2"/>
      <c r="AJ158" s="212" t="s">
        <v>919</v>
      </c>
      <c r="AK158" s="2" t="s">
        <v>885</v>
      </c>
      <c r="AL158" s="2" t="s">
        <v>876</v>
      </c>
      <c r="AM158" s="5" t="s">
        <v>838</v>
      </c>
      <c r="AN158" s="4" t="s">
        <v>839</v>
      </c>
      <c r="AO158" s="2" t="s">
        <v>273</v>
      </c>
      <c r="AP158" s="33" t="s">
        <v>122</v>
      </c>
      <c r="AQ158" s="203" t="s">
        <v>385</v>
      </c>
      <c r="AR158" s="6" t="s">
        <v>52</v>
      </c>
      <c r="AS158" s="108" t="s">
        <v>675</v>
      </c>
      <c r="AT158" s="105" t="str">
        <f t="shared" si="21"/>
        <v>RO</v>
      </c>
      <c r="AU158" s="109" t="str">
        <f t="shared" si="20"/>
        <v>A</v>
      </c>
      <c r="AV158" s="110"/>
      <c r="AW158" s="111"/>
    </row>
    <row r="159" spans="1:49" ht="34.5" customHeight="1" thickBot="1" x14ac:dyDescent="0.4">
      <c r="A159" s="186">
        <v>155</v>
      </c>
      <c r="B159" s="2" t="s">
        <v>806</v>
      </c>
      <c r="C159" s="2" t="s">
        <v>52</v>
      </c>
      <c r="D159" s="2" t="s">
        <v>205</v>
      </c>
      <c r="E159" s="2"/>
      <c r="F159" s="7">
        <v>43314</v>
      </c>
      <c r="G159" s="7">
        <v>43323</v>
      </c>
      <c r="H159" s="27">
        <v>0</v>
      </c>
      <c r="I159" s="28">
        <v>0</v>
      </c>
      <c r="J159" s="29">
        <v>0</v>
      </c>
      <c r="K159" s="30">
        <v>0</v>
      </c>
      <c r="L159" s="132">
        <v>20</v>
      </c>
      <c r="M159" s="136">
        <v>5</v>
      </c>
      <c r="N159" s="17">
        <v>0</v>
      </c>
      <c r="O159" s="18">
        <v>0</v>
      </c>
      <c r="P159" s="19">
        <v>0</v>
      </c>
      <c r="Q159" s="35">
        <v>0</v>
      </c>
      <c r="R159" s="74">
        <v>24</v>
      </c>
      <c r="S159" s="75">
        <f t="shared" si="16"/>
        <v>5</v>
      </c>
      <c r="T159" s="8">
        <f t="shared" si="18"/>
        <v>0.20833333333333334</v>
      </c>
      <c r="U159" s="9">
        <f t="shared" si="19"/>
        <v>29</v>
      </c>
      <c r="V159" s="3"/>
      <c r="W159" s="2"/>
      <c r="X159" s="2"/>
      <c r="Y159" s="2"/>
      <c r="Z159" s="2">
        <v>-4</v>
      </c>
      <c r="AA159" s="2"/>
      <c r="AB159" s="2"/>
      <c r="AC159" s="2"/>
      <c r="AD159" s="2"/>
      <c r="AE159" s="2"/>
      <c r="AF159" s="2" t="s">
        <v>148</v>
      </c>
      <c r="AG159" s="2" t="s">
        <v>384</v>
      </c>
      <c r="AH159" s="2"/>
      <c r="AI159" s="2"/>
      <c r="AJ159" s="212" t="s">
        <v>919</v>
      </c>
      <c r="AK159" s="2" t="s">
        <v>885</v>
      </c>
      <c r="AL159" s="2" t="s">
        <v>840</v>
      </c>
      <c r="AM159" s="5" t="s">
        <v>841</v>
      </c>
      <c r="AN159" s="4" t="s">
        <v>842</v>
      </c>
      <c r="AO159" s="2" t="s">
        <v>273</v>
      </c>
      <c r="AP159" s="33" t="s">
        <v>122</v>
      </c>
      <c r="AQ159" s="203" t="s">
        <v>385</v>
      </c>
      <c r="AR159" s="6" t="s">
        <v>52</v>
      </c>
      <c r="AS159" s="108" t="s">
        <v>675</v>
      </c>
      <c r="AT159" s="105" t="s">
        <v>846</v>
      </c>
      <c r="AU159" s="109" t="str">
        <f t="shared" si="20"/>
        <v>B</v>
      </c>
      <c r="AV159" s="110"/>
      <c r="AW159" s="111"/>
    </row>
    <row r="160" spans="1:49" ht="56.25" customHeight="1" thickBot="1" x14ac:dyDescent="0.4">
      <c r="A160" s="186">
        <v>156</v>
      </c>
      <c r="B160" s="2" t="s">
        <v>806</v>
      </c>
      <c r="C160" s="2" t="s">
        <v>52</v>
      </c>
      <c r="D160" s="2" t="s">
        <v>361</v>
      </c>
      <c r="E160" s="2"/>
      <c r="F160" s="7">
        <v>43324</v>
      </c>
      <c r="G160" s="7">
        <v>43332</v>
      </c>
      <c r="H160" s="142">
        <v>11</v>
      </c>
      <c r="I160" s="139">
        <v>4</v>
      </c>
      <c r="J160" s="29">
        <v>0</v>
      </c>
      <c r="K160" s="30">
        <v>0</v>
      </c>
      <c r="L160" s="31">
        <v>0</v>
      </c>
      <c r="M160" s="32">
        <v>0</v>
      </c>
      <c r="N160" s="17">
        <v>0</v>
      </c>
      <c r="O160" s="18">
        <v>0</v>
      </c>
      <c r="P160" s="19">
        <v>0</v>
      </c>
      <c r="Q160" s="35">
        <v>0</v>
      </c>
      <c r="R160" s="74">
        <f t="shared" si="17"/>
        <v>11</v>
      </c>
      <c r="S160" s="75">
        <f t="shared" si="16"/>
        <v>4</v>
      </c>
      <c r="T160" s="8">
        <f t="shared" si="18"/>
        <v>0.36363636363636365</v>
      </c>
      <c r="U160" s="9">
        <f t="shared" si="19"/>
        <v>15</v>
      </c>
      <c r="V160" s="3">
        <v>-5</v>
      </c>
      <c r="W160" s="2"/>
      <c r="X160" s="2"/>
      <c r="Y160" s="2"/>
      <c r="Z160" s="2"/>
      <c r="AA160" s="2"/>
      <c r="AB160" s="2"/>
      <c r="AC160" s="2"/>
      <c r="AD160" s="2"/>
      <c r="AE160" s="2"/>
      <c r="AF160" s="2" t="s">
        <v>148</v>
      </c>
      <c r="AG160" s="2" t="s">
        <v>384</v>
      </c>
      <c r="AH160" s="2"/>
      <c r="AI160" s="2"/>
      <c r="AJ160" s="212" t="s">
        <v>919</v>
      </c>
      <c r="AK160" s="2" t="s">
        <v>885</v>
      </c>
      <c r="AL160" s="2" t="s">
        <v>843</v>
      </c>
      <c r="AM160" s="5" t="s">
        <v>844</v>
      </c>
      <c r="AN160" s="4" t="s">
        <v>845</v>
      </c>
      <c r="AO160" s="2" t="s">
        <v>273</v>
      </c>
      <c r="AP160" s="33" t="s">
        <v>122</v>
      </c>
      <c r="AQ160" s="203" t="s">
        <v>385</v>
      </c>
      <c r="AR160" s="6" t="s">
        <v>52</v>
      </c>
      <c r="AS160" s="108" t="s">
        <v>675</v>
      </c>
      <c r="AT160" s="105" t="s">
        <v>847</v>
      </c>
      <c r="AU160" s="109" t="str">
        <f t="shared" si="20"/>
        <v>A</v>
      </c>
      <c r="AV160" s="110"/>
      <c r="AW160" s="111"/>
    </row>
    <row r="161" spans="1:49" ht="34.5" customHeight="1" thickBot="1" x14ac:dyDescent="0.4">
      <c r="A161" s="186">
        <v>157</v>
      </c>
      <c r="B161" s="2" t="s">
        <v>806</v>
      </c>
      <c r="C161" s="2" t="s">
        <v>52</v>
      </c>
      <c r="D161" s="2" t="s">
        <v>178</v>
      </c>
      <c r="E161" s="2"/>
      <c r="F161" s="7">
        <v>43326</v>
      </c>
      <c r="G161" s="7">
        <v>43335</v>
      </c>
      <c r="H161" s="27">
        <v>0</v>
      </c>
      <c r="I161" s="28">
        <v>0</v>
      </c>
      <c r="J161" s="124">
        <v>16</v>
      </c>
      <c r="K161" s="134">
        <v>5</v>
      </c>
      <c r="L161" s="31">
        <v>0</v>
      </c>
      <c r="M161" s="32">
        <v>0</v>
      </c>
      <c r="N161" s="17">
        <v>0</v>
      </c>
      <c r="O161" s="18">
        <v>0</v>
      </c>
      <c r="P161" s="19">
        <v>0</v>
      </c>
      <c r="Q161" s="127">
        <v>1</v>
      </c>
      <c r="R161" s="74">
        <f t="shared" si="17"/>
        <v>16</v>
      </c>
      <c r="S161" s="75">
        <f t="shared" si="16"/>
        <v>6</v>
      </c>
      <c r="T161" s="8">
        <f t="shared" si="18"/>
        <v>0.375</v>
      </c>
      <c r="U161" s="9">
        <f t="shared" si="19"/>
        <v>22</v>
      </c>
      <c r="V161" s="3"/>
      <c r="W161" s="2"/>
      <c r="X161" s="2"/>
      <c r="Y161" s="2">
        <v>-8</v>
      </c>
      <c r="Z161" s="2"/>
      <c r="AA161" s="2"/>
      <c r="AB161" s="2"/>
      <c r="AC161" s="2"/>
      <c r="AD161" s="2"/>
      <c r="AE161" s="2">
        <v>1</v>
      </c>
      <c r="AF161" s="2" t="s">
        <v>148</v>
      </c>
      <c r="AG161" s="2" t="s">
        <v>384</v>
      </c>
      <c r="AH161" s="2"/>
      <c r="AI161" s="2"/>
      <c r="AJ161" s="212" t="s">
        <v>919</v>
      </c>
      <c r="AK161" s="6" t="s">
        <v>885</v>
      </c>
      <c r="AL161" s="6" t="s">
        <v>271</v>
      </c>
      <c r="AM161" s="49" t="s">
        <v>272</v>
      </c>
      <c r="AN161" s="11">
        <v>631731631</v>
      </c>
      <c r="AO161" s="2" t="s">
        <v>273</v>
      </c>
      <c r="AP161" s="33" t="s">
        <v>122</v>
      </c>
      <c r="AQ161" s="203" t="s">
        <v>385</v>
      </c>
      <c r="AR161" s="6" t="s">
        <v>52</v>
      </c>
      <c r="AS161" s="108" t="s">
        <v>675</v>
      </c>
      <c r="AT161" s="105" t="s">
        <v>848</v>
      </c>
      <c r="AU161" s="109" t="str">
        <f t="shared" si="20"/>
        <v>A</v>
      </c>
      <c r="AV161" s="110"/>
      <c r="AW161" s="111"/>
    </row>
    <row r="162" spans="1:49" ht="51.75" customHeight="1" thickBot="1" x14ac:dyDescent="0.4">
      <c r="A162" s="186">
        <v>158</v>
      </c>
      <c r="B162" s="2" t="s">
        <v>806</v>
      </c>
      <c r="C162" s="2" t="s">
        <v>52</v>
      </c>
      <c r="D162" s="2" t="s">
        <v>178</v>
      </c>
      <c r="E162" s="2"/>
      <c r="F162" s="7">
        <v>43314</v>
      </c>
      <c r="G162" s="7">
        <v>43323</v>
      </c>
      <c r="H162" s="27">
        <v>0</v>
      </c>
      <c r="I162" s="28">
        <v>0</v>
      </c>
      <c r="J162" s="150">
        <v>24</v>
      </c>
      <c r="K162" s="143">
        <v>4</v>
      </c>
      <c r="L162" s="31">
        <v>0</v>
      </c>
      <c r="M162" s="32">
        <v>0</v>
      </c>
      <c r="N162" s="17">
        <v>0</v>
      </c>
      <c r="O162" s="18">
        <v>0</v>
      </c>
      <c r="P162" s="19">
        <v>0</v>
      </c>
      <c r="Q162" s="35">
        <v>0</v>
      </c>
      <c r="R162" s="74">
        <f t="shared" si="17"/>
        <v>24</v>
      </c>
      <c r="S162" s="75">
        <f t="shared" si="16"/>
        <v>4</v>
      </c>
      <c r="T162" s="8">
        <f t="shared" si="18"/>
        <v>0.16666666666666666</v>
      </c>
      <c r="U162" s="9">
        <f t="shared" si="19"/>
        <v>28</v>
      </c>
      <c r="V162" s="3"/>
      <c r="W162" s="2"/>
      <c r="X162" s="2"/>
      <c r="Y162" s="2">
        <v>-2</v>
      </c>
      <c r="Z162" s="2"/>
      <c r="AA162" s="2"/>
      <c r="AB162" s="2"/>
      <c r="AC162" s="2"/>
      <c r="AD162" s="2"/>
      <c r="AE162" s="2"/>
      <c r="AF162" s="2" t="s">
        <v>148</v>
      </c>
      <c r="AG162" s="2" t="s">
        <v>384</v>
      </c>
      <c r="AH162" s="2"/>
      <c r="AI162" s="2"/>
      <c r="AJ162" s="212" t="s">
        <v>919</v>
      </c>
      <c r="AK162" s="2" t="s">
        <v>885</v>
      </c>
      <c r="AL162" s="2" t="s">
        <v>853</v>
      </c>
      <c r="AM162" s="1" t="s">
        <v>854</v>
      </c>
      <c r="AN162" s="4">
        <v>698326612</v>
      </c>
      <c r="AO162" s="2" t="s">
        <v>273</v>
      </c>
      <c r="AP162" s="33" t="s">
        <v>122</v>
      </c>
      <c r="AQ162" s="203" t="s">
        <v>385</v>
      </c>
      <c r="AR162" s="6" t="s">
        <v>52</v>
      </c>
      <c r="AS162" s="108" t="s">
        <v>675</v>
      </c>
      <c r="AT162" s="105" t="str">
        <f t="shared" ref="AT162:AT163" si="22">IF(D162="Camp d'unité Ainés","CUA",IF(D162="camp d'unité éclés","CUE",IF(D162="Camp d'unité louveteaux","CULO",IF(D162="Camp d'unité lutins","CULI",IF(D162="Camp de groupe","CG",IF(D162="Camp régional","CR",IF(D162="Camp de regroupement","CGG",IF(D162="Camp de regroupement d'unité Ainés","CRGUA",IF(D162="Camp de regroupement d'unité éclés","CRGUE",IF(D162="Camp de regroupement d'unité louveteaux","CRGULO",IF(D162="Camp de regroupement d'unité lutins","CRGULI",IF(D162="Camp inter groupe","CIG",IF(D162="Séjours adaptés mineurs","SAM",IF(D162="Séjours adaptés adultes","SAA",IF(D162="Séjours ouverts","SOU",IF(D162="Camp régional ouvert","RO"))))))))))))))))</f>
        <v>CULO</v>
      </c>
      <c r="AU162" s="109" t="str">
        <f t="shared" si="20"/>
        <v>B</v>
      </c>
      <c r="AV162" s="110"/>
      <c r="AW162" s="111"/>
    </row>
    <row r="163" spans="1:49" ht="34.5" customHeight="1" thickBot="1" x14ac:dyDescent="0.4">
      <c r="A163" s="186">
        <v>159</v>
      </c>
      <c r="B163" s="2" t="s">
        <v>806</v>
      </c>
      <c r="C163" s="2" t="s">
        <v>52</v>
      </c>
      <c r="D163" s="2" t="s">
        <v>205</v>
      </c>
      <c r="E163" s="2"/>
      <c r="F163" s="7">
        <v>43326</v>
      </c>
      <c r="G163" s="7">
        <v>43340</v>
      </c>
      <c r="H163" s="27">
        <v>0</v>
      </c>
      <c r="I163" s="28">
        <v>0</v>
      </c>
      <c r="J163" s="29">
        <v>0</v>
      </c>
      <c r="K163" s="30">
        <v>0</v>
      </c>
      <c r="L163" s="132">
        <v>14</v>
      </c>
      <c r="M163" s="136">
        <v>5</v>
      </c>
      <c r="N163" s="17">
        <v>0</v>
      </c>
      <c r="O163" s="18">
        <v>0</v>
      </c>
      <c r="P163" s="19">
        <v>0</v>
      </c>
      <c r="Q163" s="35">
        <v>0</v>
      </c>
      <c r="R163" s="74">
        <f t="shared" si="17"/>
        <v>14</v>
      </c>
      <c r="S163" s="75">
        <f t="shared" si="17"/>
        <v>5</v>
      </c>
      <c r="T163" s="8">
        <f t="shared" si="18"/>
        <v>0.35714285714285715</v>
      </c>
      <c r="U163" s="9">
        <f t="shared" si="19"/>
        <v>19</v>
      </c>
      <c r="V163" s="3"/>
      <c r="W163" s="2"/>
      <c r="X163" s="2"/>
      <c r="Y163" s="2"/>
      <c r="Z163" s="2">
        <v>-10</v>
      </c>
      <c r="AA163" s="2"/>
      <c r="AB163" s="2"/>
      <c r="AC163" s="2"/>
      <c r="AD163" s="2"/>
      <c r="AE163" s="2"/>
      <c r="AF163" s="2" t="s">
        <v>148</v>
      </c>
      <c r="AG163" s="2" t="s">
        <v>384</v>
      </c>
      <c r="AH163" s="2"/>
      <c r="AI163" s="2"/>
      <c r="AJ163" s="212" t="s">
        <v>919</v>
      </c>
      <c r="AK163" s="2" t="s">
        <v>885</v>
      </c>
      <c r="AL163" s="2" t="s">
        <v>855</v>
      </c>
      <c r="AM163" s="90" t="s">
        <v>856</v>
      </c>
      <c r="AN163" s="4">
        <v>782161768</v>
      </c>
      <c r="AO163" s="2" t="s">
        <v>273</v>
      </c>
      <c r="AP163" s="33" t="s">
        <v>122</v>
      </c>
      <c r="AQ163" s="203" t="s">
        <v>385</v>
      </c>
      <c r="AR163" s="6" t="s">
        <v>52</v>
      </c>
      <c r="AS163" s="108" t="s">
        <v>675</v>
      </c>
      <c r="AT163" s="105" t="str">
        <f t="shared" si="22"/>
        <v>CUE</v>
      </c>
      <c r="AU163" s="109" t="str">
        <f t="shared" si="20"/>
        <v>A</v>
      </c>
      <c r="AV163" s="110"/>
      <c r="AW163" s="111"/>
    </row>
    <row r="164" spans="1:49" ht="60.75" customHeight="1" thickBot="1" x14ac:dyDescent="0.4">
      <c r="A164" s="186">
        <v>160</v>
      </c>
      <c r="B164" s="2" t="s">
        <v>862</v>
      </c>
      <c r="C164" s="2" t="s">
        <v>246</v>
      </c>
      <c r="D164" s="2" t="s">
        <v>64</v>
      </c>
      <c r="E164" s="2"/>
      <c r="F164" s="7">
        <v>43291</v>
      </c>
      <c r="G164" s="7">
        <v>43311</v>
      </c>
      <c r="H164" s="27">
        <v>8</v>
      </c>
      <c r="I164" s="28">
        <v>3</v>
      </c>
      <c r="J164" s="29">
        <v>8</v>
      </c>
      <c r="K164" s="30">
        <v>2</v>
      </c>
      <c r="L164" s="31">
        <v>22</v>
      </c>
      <c r="M164" s="32">
        <v>3</v>
      </c>
      <c r="N164" s="17">
        <v>0</v>
      </c>
      <c r="O164" s="18">
        <v>0</v>
      </c>
      <c r="P164" s="19">
        <v>0</v>
      </c>
      <c r="Q164" s="35">
        <v>2</v>
      </c>
      <c r="R164" s="74">
        <f t="shared" ref="R164:R169" si="23">H164+J164+L164+N164+P164</f>
        <v>38</v>
      </c>
      <c r="S164" s="75">
        <f t="shared" ref="S164:S169" si="24">I164+K164+M164+O164+Q164</f>
        <v>10</v>
      </c>
      <c r="T164" s="8">
        <f t="shared" ref="T164:T170" si="25">S164/R164</f>
        <v>0.26315789473684209</v>
      </c>
      <c r="U164" s="9">
        <f t="shared" ref="U164:U169" si="26">R164+S164</f>
        <v>48</v>
      </c>
      <c r="V164" s="3"/>
      <c r="W164" s="2"/>
      <c r="X164" s="2"/>
      <c r="Y164" s="2"/>
      <c r="Z164" s="2"/>
      <c r="AA164" s="2"/>
      <c r="AB164" s="2"/>
      <c r="AC164" s="2"/>
      <c r="AD164" s="2"/>
      <c r="AE164" s="2"/>
      <c r="AF164" s="2" t="s">
        <v>65</v>
      </c>
      <c r="AG164" s="2" t="s">
        <v>858</v>
      </c>
      <c r="AH164" s="2"/>
      <c r="AI164" s="2"/>
      <c r="AJ164" s="212" t="s">
        <v>868</v>
      </c>
      <c r="AK164" s="2" t="s">
        <v>883</v>
      </c>
      <c r="AL164" s="2" t="s">
        <v>859</v>
      </c>
      <c r="AM164" s="5" t="s">
        <v>860</v>
      </c>
      <c r="AN164" s="4" t="s">
        <v>861</v>
      </c>
      <c r="AO164" s="2" t="s">
        <v>857</v>
      </c>
      <c r="AP164" s="33" t="s">
        <v>51</v>
      </c>
      <c r="AQ164" s="203" t="s">
        <v>204</v>
      </c>
      <c r="AR164" s="6" t="s">
        <v>43</v>
      </c>
      <c r="AS164" s="108" t="s">
        <v>675</v>
      </c>
      <c r="AT164" s="105" t="str">
        <f t="shared" ref="AT164:AT194" si="27">IF(D164="Camp d'unité Ainés","CUA",IF(D164="camp d'unité éclés","CUE",IF(D164="Camp d'unité louveteaux","CULO",IF(D164="Camp d'unité lutins","CULI",IF(D164="Camp de groupe","CG",IF(D164="Camp régional","CR",IF(D164="Camp de regroupement","CGG",IF(D164="Camp de regroupement d'unité Ainés","CRGUA",IF(D164="Camp de regroupement d'unité éclés","CRGUE",IF(D164="Camp de regroupement d'unité louveteaux","CRGULO",IF(D164="Camp de regroupement d'unité lutins","CRGULI",IF(D164="Camp inter groupe","CIG",IF(D164="Séjours adaptés mineurs","SAM",IF(D164="Séjours adaptés adultes","SAA",IF(D164="Séjours ouverts","SOU",IF(D164="Camp régional ouvert","RO"))))))))))))))))</f>
        <v>CG</v>
      </c>
      <c r="AU164" s="109" t="str">
        <f t="shared" ref="AU164:AU193" si="28">IF(R164&lt;=20,"A",IF(AND(R164&gt;=21,R164&lt;=50),"B",IF(AND(R164&gt;=51,R164&lt;=80),"C",IF(R164&gt;80,"D"))))</f>
        <v>B</v>
      </c>
      <c r="AV164" s="110"/>
      <c r="AW164" s="111"/>
    </row>
    <row r="165" spans="1:49" ht="34.5" customHeight="1" thickBot="1" x14ac:dyDescent="0.4">
      <c r="A165" s="186">
        <v>161</v>
      </c>
      <c r="B165" s="2" t="s">
        <v>869</v>
      </c>
      <c r="C165" s="2" t="s">
        <v>43</v>
      </c>
      <c r="D165" s="2" t="s">
        <v>733</v>
      </c>
      <c r="E165" s="2"/>
      <c r="F165" s="7">
        <v>43316</v>
      </c>
      <c r="G165" s="7">
        <v>43330</v>
      </c>
      <c r="H165" s="128">
        <v>4</v>
      </c>
      <c r="I165" s="28">
        <v>1</v>
      </c>
      <c r="J165" s="129">
        <v>10</v>
      </c>
      <c r="K165" s="30">
        <v>1</v>
      </c>
      <c r="L165" s="135">
        <v>2</v>
      </c>
      <c r="M165" s="32">
        <v>1</v>
      </c>
      <c r="N165" s="146">
        <v>1</v>
      </c>
      <c r="O165" s="18">
        <v>0</v>
      </c>
      <c r="P165" s="19">
        <v>0</v>
      </c>
      <c r="Q165" s="127">
        <v>1</v>
      </c>
      <c r="R165" s="74">
        <f t="shared" si="23"/>
        <v>17</v>
      </c>
      <c r="S165" s="75">
        <f t="shared" si="24"/>
        <v>4</v>
      </c>
      <c r="T165" s="8">
        <f t="shared" si="25"/>
        <v>0.23529411764705882</v>
      </c>
      <c r="U165" s="9">
        <f t="shared" si="26"/>
        <v>21</v>
      </c>
      <c r="V165" s="3">
        <v>-1</v>
      </c>
      <c r="W165" s="2"/>
      <c r="X165" s="2">
        <v>3</v>
      </c>
      <c r="Y165" s="2"/>
      <c r="Z165" s="2">
        <v>-3</v>
      </c>
      <c r="AA165" s="2"/>
      <c r="AB165" s="2">
        <v>1</v>
      </c>
      <c r="AC165" s="2"/>
      <c r="AD165" s="2"/>
      <c r="AE165" s="2">
        <v>1</v>
      </c>
      <c r="AF165" s="2" t="s">
        <v>148</v>
      </c>
      <c r="AG165" s="2" t="s">
        <v>870</v>
      </c>
      <c r="AH165" s="2"/>
      <c r="AI165" s="2"/>
      <c r="AJ165" s="212" t="s">
        <v>920</v>
      </c>
      <c r="AK165" s="2" t="s">
        <v>885</v>
      </c>
      <c r="AL165" s="2" t="s">
        <v>871</v>
      </c>
      <c r="AM165" s="1" t="s">
        <v>872</v>
      </c>
      <c r="AN165" s="4">
        <v>698290097</v>
      </c>
      <c r="AO165" s="2" t="s">
        <v>48</v>
      </c>
      <c r="AP165" s="33" t="s">
        <v>122</v>
      </c>
      <c r="AQ165" s="203" t="s">
        <v>820</v>
      </c>
      <c r="AR165" s="6" t="s">
        <v>43</v>
      </c>
      <c r="AS165" s="108" t="s">
        <v>675</v>
      </c>
      <c r="AT165" s="105" t="str">
        <f t="shared" si="27"/>
        <v>CR</v>
      </c>
      <c r="AU165" s="109" t="str">
        <f t="shared" si="28"/>
        <v>A</v>
      </c>
      <c r="AV165" s="110"/>
      <c r="AW165" s="111"/>
    </row>
    <row r="166" spans="1:49" ht="34.5" customHeight="1" thickBot="1" x14ac:dyDescent="0.4">
      <c r="A166" s="186">
        <v>162</v>
      </c>
      <c r="B166" s="2" t="s">
        <v>304</v>
      </c>
      <c r="C166" s="2" t="s">
        <v>131</v>
      </c>
      <c r="D166" s="2" t="s">
        <v>351</v>
      </c>
      <c r="E166" s="7" t="s">
        <v>299</v>
      </c>
      <c r="F166" s="7">
        <v>43290</v>
      </c>
      <c r="G166" s="7">
        <v>43309</v>
      </c>
      <c r="H166" s="27">
        <v>0</v>
      </c>
      <c r="I166" s="28">
        <v>0</v>
      </c>
      <c r="J166" s="29">
        <v>0</v>
      </c>
      <c r="K166" s="30">
        <v>0</v>
      </c>
      <c r="L166" s="126">
        <v>26</v>
      </c>
      <c r="M166" s="130">
        <v>5</v>
      </c>
      <c r="N166" s="17">
        <v>0</v>
      </c>
      <c r="O166" s="18">
        <v>0</v>
      </c>
      <c r="P166" s="19">
        <v>0</v>
      </c>
      <c r="Q166" s="35">
        <v>0</v>
      </c>
      <c r="R166" s="74">
        <f>H166+J166+L166+N166+P166</f>
        <v>26</v>
      </c>
      <c r="S166" s="75">
        <f>I166+K166+M166+O166+Q166</f>
        <v>5</v>
      </c>
      <c r="T166" s="8">
        <f>S166/R166</f>
        <v>0.19230769230769232</v>
      </c>
      <c r="U166" s="9">
        <f>R166+S166</f>
        <v>31</v>
      </c>
      <c r="V166" s="3"/>
      <c r="W166" s="2"/>
      <c r="X166" s="2"/>
      <c r="Y166" s="2"/>
      <c r="Z166" s="2">
        <v>2</v>
      </c>
      <c r="AA166" s="2">
        <v>2</v>
      </c>
      <c r="AB166" s="2"/>
      <c r="AC166" s="2"/>
      <c r="AD166" s="2"/>
      <c r="AE166" s="2"/>
      <c r="AF166" s="2" t="s">
        <v>65</v>
      </c>
      <c r="AG166" s="6" t="s">
        <v>343</v>
      </c>
      <c r="AH166" s="6"/>
      <c r="AI166" s="6"/>
      <c r="AJ166" s="33" t="s">
        <v>306</v>
      </c>
      <c r="AK166" s="6" t="s">
        <v>890</v>
      </c>
      <c r="AL166" s="6" t="s">
        <v>307</v>
      </c>
      <c r="AM166" s="46" t="s">
        <v>308</v>
      </c>
      <c r="AN166" s="11">
        <v>629772743</v>
      </c>
      <c r="AO166" s="6" t="s">
        <v>305</v>
      </c>
      <c r="AP166" s="33" t="s">
        <v>51</v>
      </c>
      <c r="AQ166" s="203" t="s">
        <v>311</v>
      </c>
      <c r="AR166" s="10" t="s">
        <v>131</v>
      </c>
      <c r="AS166" s="108" t="s">
        <v>53</v>
      </c>
      <c r="AT166" s="105" t="str">
        <f>IF(D166="Camp d'unité Ainés","CUA",IF(D166="camp d'unité éclés","CUE",IF(D166="Camp d'unité louveteaux","CULO",IF(D166="Camp d'unité lutins","CULI",IF(D166="Camp de groupe","CG",IF(D166="Camp régional","CR",IF(D166="Camp de regroupement","CGG",IF(D166="Camp de regroupement d'unité Ainés","CRGUA",IF(D166="Camp de regroupement d'unité éclés","CRGUE",IF(D166="Camp de regroupement d'unité louveteaux","CRGULO",IF(D166="Camp de regroupement d'unité lutins","CRGULI",IF(D166="Camp inter groupe","CIG",IF(D166="Séjours adaptés mineurs","SAM",IF(D166="Séjours adaptés adultes","SAA",IF(D166="Séjours ouverts","SOU",IF(D166="Camp régional ouvert","RO"))))))))))))))))</f>
        <v>CGG</v>
      </c>
      <c r="AU166" s="109" t="str">
        <f>IF(R166&lt;=20,"A",IF(AND(R166&gt;=21,R166&lt;=50),"B",IF(AND(R166&gt;=51,R166&lt;=80),"C",IF(R166&gt;80,"D"))))</f>
        <v>B</v>
      </c>
      <c r="AV166" s="110"/>
      <c r="AW166" s="111"/>
    </row>
    <row r="167" spans="1:49" ht="29" thickBot="1" x14ac:dyDescent="0.4">
      <c r="A167" s="77"/>
      <c r="B167" s="2"/>
      <c r="C167" s="2"/>
      <c r="D167" s="2"/>
      <c r="E167" s="2"/>
      <c r="F167" s="7"/>
      <c r="G167" s="7"/>
      <c r="H167" s="27"/>
      <c r="I167" s="28"/>
      <c r="J167" s="29"/>
      <c r="K167" s="30"/>
      <c r="L167" s="31"/>
      <c r="M167" s="32"/>
      <c r="N167" s="17"/>
      <c r="O167" s="18"/>
      <c r="P167" s="19"/>
      <c r="Q167" s="35"/>
      <c r="R167" s="74">
        <f t="shared" si="23"/>
        <v>0</v>
      </c>
      <c r="S167" s="75">
        <f t="shared" si="24"/>
        <v>0</v>
      </c>
      <c r="T167" s="8" t="e">
        <f t="shared" si="25"/>
        <v>#DIV/0!</v>
      </c>
      <c r="U167" s="9">
        <f t="shared" si="26"/>
        <v>0</v>
      </c>
      <c r="V167" s="3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12"/>
      <c r="AK167" s="2"/>
      <c r="AL167" s="2"/>
      <c r="AM167" s="2"/>
      <c r="AN167" s="4"/>
      <c r="AO167" s="2"/>
      <c r="AP167" s="33"/>
      <c r="AQ167" s="203"/>
      <c r="AR167" s="6"/>
      <c r="AS167" s="108"/>
      <c r="AT167" s="105" t="b">
        <f t="shared" si="27"/>
        <v>0</v>
      </c>
      <c r="AU167" s="109" t="str">
        <f t="shared" si="28"/>
        <v>A</v>
      </c>
      <c r="AV167" s="110"/>
      <c r="AW167" s="111"/>
    </row>
    <row r="168" spans="1:49" ht="29" thickBot="1" x14ac:dyDescent="0.4">
      <c r="A168" s="77"/>
      <c r="B168" s="2"/>
      <c r="C168" s="2"/>
      <c r="D168" s="2"/>
      <c r="E168" s="2"/>
      <c r="F168" s="7"/>
      <c r="G168" s="7"/>
      <c r="H168" s="27"/>
      <c r="I168" s="28"/>
      <c r="J168" s="29"/>
      <c r="K168" s="30"/>
      <c r="L168" s="31"/>
      <c r="M168" s="32"/>
      <c r="N168" s="17"/>
      <c r="O168" s="18"/>
      <c r="P168" s="19"/>
      <c r="Q168" s="35"/>
      <c r="R168" s="74">
        <f t="shared" si="23"/>
        <v>0</v>
      </c>
      <c r="S168" s="75">
        <f t="shared" si="24"/>
        <v>0</v>
      </c>
      <c r="T168" s="8" t="e">
        <f t="shared" si="25"/>
        <v>#DIV/0!</v>
      </c>
      <c r="U168" s="9">
        <f t="shared" si="26"/>
        <v>0</v>
      </c>
      <c r="V168" s="3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12"/>
      <c r="AK168" s="2"/>
      <c r="AL168" s="2"/>
      <c r="AM168" s="2"/>
      <c r="AN168" s="4"/>
      <c r="AO168" s="2"/>
      <c r="AP168" s="33"/>
      <c r="AQ168" s="203"/>
      <c r="AR168" s="6"/>
      <c r="AS168" s="108"/>
      <c r="AT168" s="105" t="b">
        <f t="shared" si="27"/>
        <v>0</v>
      </c>
      <c r="AU168" s="109" t="str">
        <f t="shared" si="28"/>
        <v>A</v>
      </c>
      <c r="AV168" s="110"/>
      <c r="AW168" s="111"/>
    </row>
    <row r="169" spans="1:49" ht="29" thickBot="1" x14ac:dyDescent="0.4">
      <c r="A169" s="77"/>
      <c r="B169" s="2"/>
      <c r="C169" s="2"/>
      <c r="D169" s="2"/>
      <c r="E169" s="2"/>
      <c r="F169" s="7"/>
      <c r="G169" s="7"/>
      <c r="H169" s="27"/>
      <c r="I169" s="28"/>
      <c r="J169" s="29"/>
      <c r="K169" s="30"/>
      <c r="L169" s="31"/>
      <c r="M169" s="32"/>
      <c r="N169" s="17"/>
      <c r="O169" s="18"/>
      <c r="P169" s="19"/>
      <c r="Q169" s="35"/>
      <c r="R169" s="74">
        <f t="shared" si="23"/>
        <v>0</v>
      </c>
      <c r="S169" s="75">
        <f t="shared" si="24"/>
        <v>0</v>
      </c>
      <c r="T169" s="8" t="e">
        <f t="shared" si="25"/>
        <v>#DIV/0!</v>
      </c>
      <c r="U169" s="9">
        <f t="shared" si="26"/>
        <v>0</v>
      </c>
      <c r="V169" s="3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12"/>
      <c r="AK169" s="2"/>
      <c r="AL169" s="2"/>
      <c r="AM169" s="2"/>
      <c r="AN169" s="4"/>
      <c r="AO169" s="2"/>
      <c r="AP169" s="33"/>
      <c r="AQ169" s="203"/>
      <c r="AR169" s="6"/>
      <c r="AS169" s="108"/>
      <c r="AT169" s="105" t="b">
        <f t="shared" si="27"/>
        <v>0</v>
      </c>
      <c r="AU169" s="109" t="str">
        <f t="shared" si="28"/>
        <v>A</v>
      </c>
      <c r="AV169" s="110"/>
      <c r="AW169" s="111"/>
    </row>
    <row r="170" spans="1:49" ht="29" thickBot="1" x14ac:dyDescent="0.4">
      <c r="A170" s="77"/>
      <c r="B170" s="2"/>
      <c r="C170" s="2"/>
      <c r="D170" s="2"/>
      <c r="E170" s="2"/>
      <c r="F170" s="7"/>
      <c r="G170" s="7"/>
      <c r="H170" s="117">
        <f t="shared" ref="H170:S170" si="29">SUM(H2:H169)</f>
        <v>652</v>
      </c>
      <c r="I170" s="117">
        <f t="shared" si="29"/>
        <v>196</v>
      </c>
      <c r="J170" s="117">
        <f t="shared" si="29"/>
        <v>1972</v>
      </c>
      <c r="K170" s="117">
        <f t="shared" si="29"/>
        <v>442</v>
      </c>
      <c r="L170" s="117">
        <f t="shared" si="29"/>
        <v>2137</v>
      </c>
      <c r="M170" s="117">
        <f t="shared" si="29"/>
        <v>418</v>
      </c>
      <c r="N170" s="117">
        <f t="shared" si="29"/>
        <v>621</v>
      </c>
      <c r="O170" s="117">
        <f t="shared" si="29"/>
        <v>126</v>
      </c>
      <c r="P170" s="117">
        <f t="shared" si="29"/>
        <v>48</v>
      </c>
      <c r="Q170" s="117">
        <f t="shared" si="29"/>
        <v>265</v>
      </c>
      <c r="R170" s="117">
        <f t="shared" si="29"/>
        <v>5440</v>
      </c>
      <c r="S170" s="117">
        <f t="shared" si="29"/>
        <v>1447</v>
      </c>
      <c r="T170" s="118">
        <f t="shared" si="25"/>
        <v>0.26599264705882353</v>
      </c>
      <c r="U170" s="117">
        <f>SUM(U2:U169)</f>
        <v>6887</v>
      </c>
      <c r="V170" s="117">
        <f>SUM(V2:V169)</f>
        <v>-142</v>
      </c>
      <c r="W170" s="117">
        <f t="shared" ref="W170:AE170" si="30">SUM(W2:W169)</f>
        <v>1</v>
      </c>
      <c r="X170" s="117">
        <f t="shared" si="30"/>
        <v>-222</v>
      </c>
      <c r="Y170" s="117">
        <f t="shared" si="30"/>
        <v>-11</v>
      </c>
      <c r="Z170" s="117">
        <f t="shared" si="30"/>
        <v>-64</v>
      </c>
      <c r="AA170" s="117">
        <f t="shared" si="30"/>
        <v>32</v>
      </c>
      <c r="AB170" s="117">
        <f t="shared" si="30"/>
        <v>43</v>
      </c>
      <c r="AC170" s="117">
        <f t="shared" si="30"/>
        <v>12</v>
      </c>
      <c r="AD170" s="117">
        <f t="shared" si="30"/>
        <v>23</v>
      </c>
      <c r="AE170" s="117">
        <f t="shared" si="30"/>
        <v>33</v>
      </c>
      <c r="AF170" s="2"/>
      <c r="AG170" s="2"/>
      <c r="AH170" s="2"/>
      <c r="AI170" s="2"/>
      <c r="AJ170" s="212"/>
      <c r="AK170" s="2"/>
      <c r="AL170" s="2"/>
      <c r="AM170" s="2"/>
      <c r="AN170" s="4"/>
      <c r="AO170" s="2"/>
      <c r="AP170" s="33"/>
      <c r="AQ170" s="203"/>
      <c r="AR170" s="6"/>
      <c r="AS170" s="108"/>
      <c r="AT170" s="105" t="b">
        <f t="shared" si="27"/>
        <v>0</v>
      </c>
      <c r="AU170" s="109" t="str">
        <f t="shared" si="28"/>
        <v>D</v>
      </c>
      <c r="AV170" s="110"/>
      <c r="AW170" s="111"/>
    </row>
    <row r="171" spans="1:49" ht="29" thickBot="1" x14ac:dyDescent="0.4">
      <c r="A171" s="77"/>
      <c r="B171" s="2"/>
      <c r="C171" s="2"/>
      <c r="D171" s="2"/>
      <c r="E171" s="2"/>
      <c r="F171" s="7"/>
      <c r="G171" s="7"/>
      <c r="H171" s="27"/>
      <c r="I171" s="28"/>
      <c r="J171" s="29"/>
      <c r="K171" s="30"/>
      <c r="L171" s="31"/>
      <c r="M171" s="32"/>
      <c r="N171" s="17"/>
      <c r="O171" s="18"/>
      <c r="P171" s="19"/>
      <c r="Q171" s="35"/>
      <c r="R171" s="74"/>
      <c r="S171" s="75"/>
      <c r="T171" s="8"/>
      <c r="U171" s="9"/>
      <c r="V171" s="3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12"/>
      <c r="AK171" s="2"/>
      <c r="AL171" s="2"/>
      <c r="AM171" s="2"/>
      <c r="AN171" s="4"/>
      <c r="AO171" s="2"/>
      <c r="AP171" s="33"/>
      <c r="AQ171" s="203"/>
      <c r="AR171" s="6"/>
      <c r="AS171" s="108"/>
      <c r="AT171" s="105" t="b">
        <f t="shared" si="27"/>
        <v>0</v>
      </c>
      <c r="AU171" s="109" t="str">
        <f t="shared" si="28"/>
        <v>A</v>
      </c>
      <c r="AV171" s="110"/>
      <c r="AW171" s="111"/>
    </row>
    <row r="172" spans="1:49" ht="29" thickBot="1" x14ac:dyDescent="0.4">
      <c r="A172" s="77"/>
      <c r="B172" s="2"/>
      <c r="C172" s="2"/>
      <c r="D172" s="2"/>
      <c r="E172" s="2"/>
      <c r="F172" s="7"/>
      <c r="G172" s="7"/>
      <c r="H172" s="27"/>
      <c r="I172" s="28"/>
      <c r="J172" s="29"/>
      <c r="K172" s="30"/>
      <c r="L172" s="31"/>
      <c r="M172" s="32"/>
      <c r="N172" s="17"/>
      <c r="O172" s="18"/>
      <c r="P172" s="19"/>
      <c r="Q172" s="35"/>
      <c r="R172" s="74"/>
      <c r="S172" s="75"/>
      <c r="T172" s="8"/>
      <c r="U172" s="9"/>
      <c r="V172" s="3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12"/>
      <c r="AK172" s="2"/>
      <c r="AL172" s="2"/>
      <c r="AM172" s="2"/>
      <c r="AN172" s="4"/>
      <c r="AO172" s="2"/>
      <c r="AP172" s="33"/>
      <c r="AQ172" s="203"/>
      <c r="AR172" s="6"/>
      <c r="AS172" s="108"/>
      <c r="AT172" s="105" t="b">
        <f t="shared" si="27"/>
        <v>0</v>
      </c>
      <c r="AU172" s="109" t="str">
        <f t="shared" si="28"/>
        <v>A</v>
      </c>
      <c r="AV172" s="110"/>
      <c r="AW172" s="111"/>
    </row>
    <row r="173" spans="1:49" ht="29" thickBot="1" x14ac:dyDescent="0.4">
      <c r="A173" s="77"/>
      <c r="B173" s="2"/>
      <c r="C173" s="2"/>
      <c r="D173" s="2"/>
      <c r="E173" s="2"/>
      <c r="F173" s="7"/>
      <c r="G173" s="7"/>
      <c r="H173" s="27"/>
      <c r="I173" s="28"/>
      <c r="J173" s="29"/>
      <c r="K173" s="30"/>
      <c r="L173" s="31"/>
      <c r="M173" s="32"/>
      <c r="N173" s="17"/>
      <c r="O173" s="18"/>
      <c r="P173" s="19"/>
      <c r="Q173" s="35"/>
      <c r="R173" s="74"/>
      <c r="S173" s="75"/>
      <c r="T173" s="8"/>
      <c r="U173" s="9"/>
      <c r="V173" s="3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12"/>
      <c r="AK173" s="2"/>
      <c r="AL173" s="2"/>
      <c r="AM173" s="2"/>
      <c r="AN173" s="4"/>
      <c r="AO173" s="2"/>
      <c r="AP173" s="33"/>
      <c r="AQ173" s="203"/>
      <c r="AR173" s="6"/>
      <c r="AS173" s="108"/>
      <c r="AT173" s="105" t="b">
        <f t="shared" si="27"/>
        <v>0</v>
      </c>
      <c r="AU173" s="109" t="str">
        <f t="shared" si="28"/>
        <v>A</v>
      </c>
      <c r="AV173" s="110"/>
      <c r="AW173" s="111"/>
    </row>
    <row r="174" spans="1:49" ht="29" thickBot="1" x14ac:dyDescent="0.4">
      <c r="A174" s="77"/>
      <c r="B174" s="2"/>
      <c r="C174" s="2"/>
      <c r="D174" s="2"/>
      <c r="E174" s="2"/>
      <c r="F174" s="7"/>
      <c r="G174" s="7"/>
      <c r="H174" s="27"/>
      <c r="I174" s="28"/>
      <c r="J174" s="29"/>
      <c r="K174" s="30"/>
      <c r="L174" s="31"/>
      <c r="M174" s="32"/>
      <c r="N174" s="17"/>
      <c r="O174" s="18"/>
      <c r="P174" s="19"/>
      <c r="Q174" s="35"/>
      <c r="R174" s="74"/>
      <c r="S174" s="75"/>
      <c r="T174" s="8"/>
      <c r="U174" s="9"/>
      <c r="V174" s="3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12"/>
      <c r="AK174" s="2"/>
      <c r="AL174" s="2"/>
      <c r="AM174" s="2"/>
      <c r="AN174" s="4"/>
      <c r="AO174" s="2"/>
      <c r="AP174" s="33"/>
      <c r="AQ174" s="203"/>
      <c r="AR174" s="6"/>
      <c r="AS174" s="108"/>
      <c r="AT174" s="105" t="b">
        <f t="shared" si="27"/>
        <v>0</v>
      </c>
      <c r="AU174" s="109" t="str">
        <f t="shared" si="28"/>
        <v>A</v>
      </c>
      <c r="AV174" s="110"/>
      <c r="AW174" s="111"/>
    </row>
    <row r="175" spans="1:49" ht="29" thickBot="1" x14ac:dyDescent="0.4">
      <c r="A175" s="77"/>
      <c r="B175" s="2"/>
      <c r="C175" s="2"/>
      <c r="D175" s="2"/>
      <c r="E175" s="2"/>
      <c r="F175" s="7"/>
      <c r="G175" s="7"/>
      <c r="H175" s="27"/>
      <c r="I175" s="28"/>
      <c r="J175" s="29"/>
      <c r="K175" s="30"/>
      <c r="L175" s="31"/>
      <c r="M175" s="32"/>
      <c r="N175" s="17"/>
      <c r="O175" s="18"/>
      <c r="P175" s="19"/>
      <c r="Q175" s="35"/>
      <c r="R175" s="74"/>
      <c r="S175" s="75"/>
      <c r="T175" s="8"/>
      <c r="U175" s="9"/>
      <c r="V175" s="3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12"/>
      <c r="AK175" s="2"/>
      <c r="AL175" s="2"/>
      <c r="AM175" s="2"/>
      <c r="AN175" s="4"/>
      <c r="AO175" s="2"/>
      <c r="AP175" s="33"/>
      <c r="AQ175" s="203"/>
      <c r="AR175" s="6"/>
      <c r="AS175" s="108"/>
      <c r="AT175" s="105" t="b">
        <f t="shared" si="27"/>
        <v>0</v>
      </c>
      <c r="AU175" s="109" t="str">
        <f t="shared" si="28"/>
        <v>A</v>
      </c>
      <c r="AV175" s="110"/>
      <c r="AW175" s="111"/>
    </row>
    <row r="176" spans="1:49" ht="29" thickBot="1" x14ac:dyDescent="0.4">
      <c r="A176" s="77"/>
      <c r="B176" s="2"/>
      <c r="C176" s="2"/>
      <c r="D176" s="2"/>
      <c r="E176" s="2"/>
      <c r="F176" s="7"/>
      <c r="G176" s="7"/>
      <c r="H176" s="27"/>
      <c r="I176" s="28"/>
      <c r="J176" s="29"/>
      <c r="K176" s="30"/>
      <c r="L176" s="31"/>
      <c r="M176" s="32"/>
      <c r="N176" s="17"/>
      <c r="O176" s="18"/>
      <c r="P176" s="19"/>
      <c r="Q176" s="35"/>
      <c r="R176" s="74"/>
      <c r="S176" s="75"/>
      <c r="T176" s="8"/>
      <c r="U176" s="9"/>
      <c r="V176" s="3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12"/>
      <c r="AK176" s="2"/>
      <c r="AL176" s="2"/>
      <c r="AM176" s="2"/>
      <c r="AN176" s="4"/>
      <c r="AO176" s="2"/>
      <c r="AP176" s="33"/>
      <c r="AQ176" s="203"/>
      <c r="AR176" s="6"/>
      <c r="AS176" s="108"/>
      <c r="AT176" s="105" t="b">
        <f t="shared" si="27"/>
        <v>0</v>
      </c>
      <c r="AU176" s="109" t="str">
        <f t="shared" si="28"/>
        <v>A</v>
      </c>
      <c r="AV176" s="110"/>
      <c r="AW176" s="111"/>
    </row>
    <row r="177" spans="1:49" ht="29" thickBot="1" x14ac:dyDescent="0.4">
      <c r="A177" s="77"/>
      <c r="B177" s="2"/>
      <c r="C177" s="2"/>
      <c r="D177" s="2"/>
      <c r="E177" s="2"/>
      <c r="F177" s="7"/>
      <c r="G177" s="7"/>
      <c r="H177" s="27"/>
      <c r="I177" s="28"/>
      <c r="J177" s="29"/>
      <c r="K177" s="30"/>
      <c r="L177" s="31"/>
      <c r="M177" s="32"/>
      <c r="N177" s="17"/>
      <c r="O177" s="18"/>
      <c r="P177" s="19"/>
      <c r="Q177" s="35"/>
      <c r="R177" s="74"/>
      <c r="S177" s="75"/>
      <c r="T177" s="8"/>
      <c r="U177" s="9"/>
      <c r="V177" s="3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12"/>
      <c r="AK177" s="2"/>
      <c r="AL177" s="2"/>
      <c r="AM177" s="2"/>
      <c r="AN177" s="4"/>
      <c r="AO177" s="2"/>
      <c r="AP177" s="33"/>
      <c r="AQ177" s="203"/>
      <c r="AR177" s="6"/>
      <c r="AS177" s="108"/>
      <c r="AT177" s="105" t="b">
        <f t="shared" si="27"/>
        <v>0</v>
      </c>
      <c r="AU177" s="109" t="str">
        <f t="shared" si="28"/>
        <v>A</v>
      </c>
      <c r="AV177" s="110"/>
      <c r="AW177" s="111"/>
    </row>
    <row r="178" spans="1:49" ht="29" thickBot="1" x14ac:dyDescent="0.4">
      <c r="A178" s="77"/>
      <c r="B178" s="2"/>
      <c r="C178" s="2"/>
      <c r="D178" s="2"/>
      <c r="E178" s="2"/>
      <c r="F178" s="7"/>
      <c r="G178" s="7"/>
      <c r="H178" s="27"/>
      <c r="I178" s="28"/>
      <c r="J178" s="29"/>
      <c r="K178" s="30"/>
      <c r="L178" s="31"/>
      <c r="M178" s="32"/>
      <c r="N178" s="17"/>
      <c r="O178" s="18"/>
      <c r="P178" s="19"/>
      <c r="Q178" s="35"/>
      <c r="R178" s="74"/>
      <c r="S178" s="75"/>
      <c r="T178" s="8"/>
      <c r="U178" s="9"/>
      <c r="V178" s="3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12"/>
      <c r="AK178" s="2"/>
      <c r="AL178" s="2"/>
      <c r="AM178" s="2"/>
      <c r="AN178" s="4"/>
      <c r="AO178" s="2"/>
      <c r="AP178" s="33"/>
      <c r="AQ178" s="203"/>
      <c r="AR178" s="6"/>
      <c r="AS178" s="108"/>
      <c r="AT178" s="105" t="b">
        <f t="shared" si="27"/>
        <v>0</v>
      </c>
      <c r="AU178" s="109" t="str">
        <f t="shared" si="28"/>
        <v>A</v>
      </c>
      <c r="AV178" s="110"/>
      <c r="AW178" s="111"/>
    </row>
    <row r="179" spans="1:49" ht="29" thickBot="1" x14ac:dyDescent="0.4">
      <c r="A179" s="77"/>
      <c r="B179" s="2"/>
      <c r="C179" s="2"/>
      <c r="D179" s="2"/>
      <c r="E179" s="2"/>
      <c r="F179" s="7"/>
      <c r="G179" s="7"/>
      <c r="H179" s="27"/>
      <c r="I179" s="28"/>
      <c r="J179" s="29"/>
      <c r="K179" s="30"/>
      <c r="L179" s="31"/>
      <c r="M179" s="32"/>
      <c r="N179" s="17"/>
      <c r="O179" s="18"/>
      <c r="P179" s="19"/>
      <c r="Q179" s="35"/>
      <c r="R179" s="74"/>
      <c r="S179" s="75"/>
      <c r="T179" s="8"/>
      <c r="U179" s="9"/>
      <c r="V179" s="3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12"/>
      <c r="AK179" s="2"/>
      <c r="AL179" s="2"/>
      <c r="AM179" s="2"/>
      <c r="AN179" s="4"/>
      <c r="AO179" s="2"/>
      <c r="AP179" s="33"/>
      <c r="AQ179" s="203"/>
      <c r="AR179" s="6"/>
      <c r="AS179" s="108"/>
      <c r="AT179" s="105" t="b">
        <f t="shared" si="27"/>
        <v>0</v>
      </c>
      <c r="AU179" s="109" t="str">
        <f t="shared" si="28"/>
        <v>A</v>
      </c>
      <c r="AV179" s="110"/>
      <c r="AW179" s="111"/>
    </row>
    <row r="180" spans="1:49" ht="29" thickBot="1" x14ac:dyDescent="0.4">
      <c r="A180" s="77"/>
      <c r="B180" s="2"/>
      <c r="C180" s="2"/>
      <c r="D180" s="2"/>
      <c r="E180" s="2"/>
      <c r="F180" s="7"/>
      <c r="G180" s="7"/>
      <c r="H180" s="27"/>
      <c r="I180" s="28"/>
      <c r="J180" s="29"/>
      <c r="K180" s="30"/>
      <c r="L180" s="31"/>
      <c r="M180" s="32"/>
      <c r="N180" s="17"/>
      <c r="O180" s="18"/>
      <c r="P180" s="19"/>
      <c r="Q180" s="35"/>
      <c r="R180" s="74"/>
      <c r="S180" s="75"/>
      <c r="T180" s="8"/>
      <c r="U180" s="9"/>
      <c r="V180" s="3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12"/>
      <c r="AK180" s="2"/>
      <c r="AL180" s="2"/>
      <c r="AM180" s="2"/>
      <c r="AN180" s="4"/>
      <c r="AO180" s="2"/>
      <c r="AP180" s="33"/>
      <c r="AQ180" s="203"/>
      <c r="AR180" s="6"/>
      <c r="AS180" s="108"/>
      <c r="AT180" s="105" t="b">
        <f t="shared" si="27"/>
        <v>0</v>
      </c>
      <c r="AU180" s="109" t="str">
        <f t="shared" si="28"/>
        <v>A</v>
      </c>
      <c r="AV180" s="110"/>
      <c r="AW180" s="111"/>
    </row>
    <row r="181" spans="1:49" ht="29" thickBot="1" x14ac:dyDescent="0.4">
      <c r="A181" s="77"/>
      <c r="B181" s="2"/>
      <c r="C181" s="2"/>
      <c r="D181" s="2"/>
      <c r="E181" s="2"/>
      <c r="F181" s="7"/>
      <c r="G181" s="7"/>
      <c r="H181" s="27"/>
      <c r="I181" s="28"/>
      <c r="J181" s="29"/>
      <c r="K181" s="30"/>
      <c r="L181" s="31"/>
      <c r="M181" s="32"/>
      <c r="N181" s="17"/>
      <c r="O181" s="18"/>
      <c r="P181" s="19"/>
      <c r="Q181" s="35"/>
      <c r="R181" s="74"/>
      <c r="S181" s="75"/>
      <c r="T181" s="8"/>
      <c r="U181" s="9"/>
      <c r="V181" s="3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12"/>
      <c r="AK181" s="2"/>
      <c r="AL181" s="2"/>
      <c r="AM181" s="2"/>
      <c r="AN181" s="4"/>
      <c r="AO181" s="2"/>
      <c r="AP181" s="33"/>
      <c r="AQ181" s="203"/>
      <c r="AR181" s="6"/>
      <c r="AS181" s="108"/>
      <c r="AT181" s="105" t="b">
        <f t="shared" si="27"/>
        <v>0</v>
      </c>
      <c r="AU181" s="109" t="str">
        <f t="shared" si="28"/>
        <v>A</v>
      </c>
      <c r="AV181" s="110"/>
      <c r="AW181" s="111"/>
    </row>
    <row r="182" spans="1:49" ht="29" thickBot="1" x14ac:dyDescent="0.4">
      <c r="A182" s="77"/>
      <c r="B182" s="2"/>
      <c r="C182" s="2"/>
      <c r="D182" s="2"/>
      <c r="E182" s="2"/>
      <c r="F182" s="7"/>
      <c r="G182" s="7"/>
      <c r="H182" s="27"/>
      <c r="I182" s="28"/>
      <c r="J182" s="29"/>
      <c r="K182" s="30"/>
      <c r="L182" s="31"/>
      <c r="M182" s="32"/>
      <c r="N182" s="17"/>
      <c r="O182" s="18"/>
      <c r="P182" s="19"/>
      <c r="Q182" s="35"/>
      <c r="R182" s="74"/>
      <c r="S182" s="75"/>
      <c r="T182" s="8"/>
      <c r="U182" s="9"/>
      <c r="V182" s="3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12"/>
      <c r="AK182" s="2"/>
      <c r="AL182" s="2"/>
      <c r="AM182" s="2"/>
      <c r="AN182" s="4"/>
      <c r="AO182" s="2"/>
      <c r="AP182" s="33"/>
      <c r="AQ182" s="203"/>
      <c r="AR182" s="6"/>
      <c r="AS182" s="108"/>
      <c r="AT182" s="105" t="b">
        <f t="shared" si="27"/>
        <v>0</v>
      </c>
      <c r="AU182" s="109" t="str">
        <f t="shared" si="28"/>
        <v>A</v>
      </c>
      <c r="AV182" s="110"/>
      <c r="AW182" s="111"/>
    </row>
    <row r="183" spans="1:49" ht="29" thickBot="1" x14ac:dyDescent="0.4">
      <c r="A183" s="77"/>
      <c r="B183" s="2"/>
      <c r="C183" s="2"/>
      <c r="D183" s="2"/>
      <c r="E183" s="2"/>
      <c r="F183" s="7"/>
      <c r="G183" s="7"/>
      <c r="H183" s="27"/>
      <c r="I183" s="28"/>
      <c r="J183" s="29"/>
      <c r="K183" s="30"/>
      <c r="L183" s="31"/>
      <c r="M183" s="32"/>
      <c r="N183" s="17"/>
      <c r="O183" s="18"/>
      <c r="P183" s="19"/>
      <c r="Q183" s="35"/>
      <c r="R183" s="74"/>
      <c r="S183" s="75"/>
      <c r="T183" s="8"/>
      <c r="U183" s="9"/>
      <c r="V183" s="3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12"/>
      <c r="AK183" s="2"/>
      <c r="AL183" s="2"/>
      <c r="AM183" s="2"/>
      <c r="AN183" s="4"/>
      <c r="AO183" s="2"/>
      <c r="AP183" s="33"/>
      <c r="AQ183" s="203"/>
      <c r="AR183" s="6"/>
      <c r="AS183" s="108"/>
      <c r="AT183" s="105" t="b">
        <f t="shared" si="27"/>
        <v>0</v>
      </c>
      <c r="AU183" s="109" t="str">
        <f t="shared" si="28"/>
        <v>A</v>
      </c>
      <c r="AV183" s="110"/>
      <c r="AW183" s="111"/>
    </row>
    <row r="184" spans="1:49" ht="29" thickBot="1" x14ac:dyDescent="0.4">
      <c r="A184" s="77"/>
      <c r="B184" s="2"/>
      <c r="C184" s="2"/>
      <c r="D184" s="2"/>
      <c r="E184" s="2"/>
      <c r="F184" s="7"/>
      <c r="G184" s="7"/>
      <c r="H184" s="27"/>
      <c r="I184" s="28"/>
      <c r="J184" s="29"/>
      <c r="K184" s="30"/>
      <c r="L184" s="31"/>
      <c r="M184" s="32"/>
      <c r="N184" s="17"/>
      <c r="O184" s="18"/>
      <c r="P184" s="19"/>
      <c r="Q184" s="35"/>
      <c r="R184" s="74"/>
      <c r="S184" s="75"/>
      <c r="T184" s="8"/>
      <c r="U184" s="9"/>
      <c r="V184" s="3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12"/>
      <c r="AK184" s="2"/>
      <c r="AL184" s="2"/>
      <c r="AM184" s="2"/>
      <c r="AN184" s="4"/>
      <c r="AO184" s="2"/>
      <c r="AP184" s="33"/>
      <c r="AQ184" s="203"/>
      <c r="AR184" s="6"/>
      <c r="AS184" s="108"/>
      <c r="AT184" s="105" t="b">
        <f t="shared" si="27"/>
        <v>0</v>
      </c>
      <c r="AU184" s="109" t="str">
        <f t="shared" si="28"/>
        <v>A</v>
      </c>
      <c r="AV184" s="110"/>
      <c r="AW184" s="111"/>
    </row>
    <row r="185" spans="1:49" ht="29" thickBot="1" x14ac:dyDescent="0.4">
      <c r="A185" s="77"/>
      <c r="B185" s="2"/>
      <c r="C185" s="2"/>
      <c r="D185" s="2"/>
      <c r="E185" s="2"/>
      <c r="F185" s="7"/>
      <c r="G185" s="7"/>
      <c r="H185" s="27"/>
      <c r="I185" s="28"/>
      <c r="J185" s="29"/>
      <c r="K185" s="30"/>
      <c r="L185" s="31"/>
      <c r="M185" s="32"/>
      <c r="N185" s="17"/>
      <c r="O185" s="18"/>
      <c r="P185" s="19"/>
      <c r="Q185" s="35"/>
      <c r="R185" s="74"/>
      <c r="S185" s="75"/>
      <c r="T185" s="8"/>
      <c r="U185" s="9"/>
      <c r="V185" s="3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12"/>
      <c r="AK185" s="2"/>
      <c r="AL185" s="2"/>
      <c r="AM185" s="2"/>
      <c r="AN185" s="4"/>
      <c r="AO185" s="2"/>
      <c r="AP185" s="33"/>
      <c r="AQ185" s="203"/>
      <c r="AR185" s="6"/>
      <c r="AS185" s="108"/>
      <c r="AT185" s="105" t="b">
        <f t="shared" si="27"/>
        <v>0</v>
      </c>
      <c r="AU185" s="109" t="str">
        <f t="shared" si="28"/>
        <v>A</v>
      </c>
      <c r="AV185" s="110"/>
      <c r="AW185" s="111"/>
    </row>
    <row r="186" spans="1:49" ht="29" thickBot="1" x14ac:dyDescent="0.4">
      <c r="A186" s="77"/>
      <c r="B186" s="2"/>
      <c r="C186" s="2"/>
      <c r="D186" s="2"/>
      <c r="E186" s="2"/>
      <c r="F186" s="7"/>
      <c r="G186" s="7"/>
      <c r="H186" s="27"/>
      <c r="I186" s="28"/>
      <c r="J186" s="29"/>
      <c r="K186" s="30"/>
      <c r="L186" s="31"/>
      <c r="M186" s="32"/>
      <c r="N186" s="17"/>
      <c r="O186" s="18"/>
      <c r="P186" s="19"/>
      <c r="Q186" s="35"/>
      <c r="R186" s="74"/>
      <c r="S186" s="75"/>
      <c r="T186" s="8"/>
      <c r="U186" s="9"/>
      <c r="V186" s="3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12"/>
      <c r="AK186" s="2"/>
      <c r="AL186" s="2"/>
      <c r="AM186" s="2"/>
      <c r="AN186" s="4"/>
      <c r="AO186" s="2"/>
      <c r="AP186" s="33"/>
      <c r="AQ186" s="203"/>
      <c r="AR186" s="6"/>
      <c r="AS186" s="108"/>
      <c r="AT186" s="105" t="b">
        <f t="shared" si="27"/>
        <v>0</v>
      </c>
      <c r="AU186" s="109" t="str">
        <f t="shared" si="28"/>
        <v>A</v>
      </c>
      <c r="AV186" s="110"/>
      <c r="AW186" s="111"/>
    </row>
    <row r="187" spans="1:49" ht="29" thickBot="1" x14ac:dyDescent="0.4">
      <c r="A187" s="77"/>
      <c r="B187" s="2"/>
      <c r="C187" s="2"/>
      <c r="D187" s="2"/>
      <c r="E187" s="2"/>
      <c r="F187" s="7"/>
      <c r="G187" s="7"/>
      <c r="H187" s="27"/>
      <c r="I187" s="28"/>
      <c r="J187" s="29"/>
      <c r="K187" s="30"/>
      <c r="L187" s="31"/>
      <c r="M187" s="32"/>
      <c r="N187" s="17"/>
      <c r="O187" s="18"/>
      <c r="P187" s="19"/>
      <c r="Q187" s="35"/>
      <c r="R187" s="74"/>
      <c r="S187" s="75"/>
      <c r="T187" s="8"/>
      <c r="U187" s="9"/>
      <c r="V187" s="3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12"/>
      <c r="AK187" s="2"/>
      <c r="AL187" s="2"/>
      <c r="AM187" s="2"/>
      <c r="AN187" s="4"/>
      <c r="AO187" s="2"/>
      <c r="AP187" s="33"/>
      <c r="AQ187" s="203"/>
      <c r="AR187" s="6"/>
      <c r="AS187" s="108"/>
      <c r="AT187" s="105" t="b">
        <f t="shared" si="27"/>
        <v>0</v>
      </c>
      <c r="AU187" s="109" t="str">
        <f t="shared" si="28"/>
        <v>A</v>
      </c>
      <c r="AV187" s="110"/>
      <c r="AW187" s="111"/>
    </row>
    <row r="188" spans="1:49" ht="29" thickBot="1" x14ac:dyDescent="0.4">
      <c r="A188" s="77"/>
      <c r="B188" s="2"/>
      <c r="C188" s="2"/>
      <c r="D188" s="2"/>
      <c r="E188" s="2"/>
      <c r="F188" s="7"/>
      <c r="G188" s="7"/>
      <c r="H188" s="27"/>
      <c r="I188" s="28"/>
      <c r="J188" s="29"/>
      <c r="K188" s="30"/>
      <c r="L188" s="31"/>
      <c r="M188" s="32"/>
      <c r="N188" s="17"/>
      <c r="O188" s="18"/>
      <c r="P188" s="19"/>
      <c r="Q188" s="35"/>
      <c r="R188" s="74"/>
      <c r="S188" s="75"/>
      <c r="T188" s="8"/>
      <c r="U188" s="9"/>
      <c r="V188" s="3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12"/>
      <c r="AK188" s="2"/>
      <c r="AL188" s="2"/>
      <c r="AM188" s="2"/>
      <c r="AN188" s="4"/>
      <c r="AO188" s="2"/>
      <c r="AP188" s="33"/>
      <c r="AQ188" s="203"/>
      <c r="AR188" s="6"/>
      <c r="AS188" s="108"/>
      <c r="AT188" s="105" t="b">
        <f t="shared" si="27"/>
        <v>0</v>
      </c>
      <c r="AU188" s="109" t="str">
        <f t="shared" si="28"/>
        <v>A</v>
      </c>
      <c r="AV188" s="110"/>
      <c r="AW188" s="111"/>
    </row>
    <row r="189" spans="1:49" ht="29" thickBot="1" x14ac:dyDescent="0.4">
      <c r="A189" s="77"/>
      <c r="B189" s="2"/>
      <c r="C189" s="2"/>
      <c r="D189" s="2"/>
      <c r="E189" s="2"/>
      <c r="F189" s="7"/>
      <c r="G189" s="7"/>
      <c r="H189" s="27"/>
      <c r="I189" s="28"/>
      <c r="J189" s="29"/>
      <c r="K189" s="30"/>
      <c r="L189" s="31"/>
      <c r="M189" s="32"/>
      <c r="N189" s="17"/>
      <c r="O189" s="18"/>
      <c r="P189" s="19"/>
      <c r="Q189" s="35"/>
      <c r="R189" s="74"/>
      <c r="S189" s="75"/>
      <c r="T189" s="8"/>
      <c r="U189" s="9"/>
      <c r="V189" s="3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12"/>
      <c r="AK189" s="2"/>
      <c r="AL189" s="2"/>
      <c r="AM189" s="2"/>
      <c r="AN189" s="4"/>
      <c r="AO189" s="2"/>
      <c r="AP189" s="33"/>
      <c r="AQ189" s="203"/>
      <c r="AR189" s="6"/>
      <c r="AS189" s="108"/>
      <c r="AT189" s="105" t="b">
        <f t="shared" si="27"/>
        <v>0</v>
      </c>
      <c r="AU189" s="109" t="str">
        <f t="shared" si="28"/>
        <v>A</v>
      </c>
      <c r="AV189" s="110"/>
      <c r="AW189" s="111"/>
    </row>
    <row r="190" spans="1:49" ht="29" thickBot="1" x14ac:dyDescent="0.4">
      <c r="A190" s="77"/>
      <c r="B190" s="2"/>
      <c r="C190" s="2"/>
      <c r="D190" s="2"/>
      <c r="E190" s="2"/>
      <c r="F190" s="7"/>
      <c r="G190" s="7"/>
      <c r="H190" s="27"/>
      <c r="I190" s="28"/>
      <c r="J190" s="29"/>
      <c r="K190" s="30"/>
      <c r="L190" s="31"/>
      <c r="M190" s="32"/>
      <c r="N190" s="17"/>
      <c r="O190" s="18"/>
      <c r="P190" s="19"/>
      <c r="Q190" s="35"/>
      <c r="R190" s="74"/>
      <c r="S190" s="75"/>
      <c r="T190" s="8"/>
      <c r="U190" s="9"/>
      <c r="V190" s="3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12"/>
      <c r="AK190" s="2"/>
      <c r="AL190" s="2"/>
      <c r="AM190" s="2"/>
      <c r="AN190" s="4"/>
      <c r="AO190" s="2"/>
      <c r="AP190" s="33"/>
      <c r="AQ190" s="203"/>
      <c r="AR190" s="6"/>
      <c r="AS190" s="108"/>
      <c r="AT190" s="105" t="b">
        <f t="shared" si="27"/>
        <v>0</v>
      </c>
      <c r="AU190" s="109" t="str">
        <f t="shared" si="28"/>
        <v>A</v>
      </c>
      <c r="AV190" s="110"/>
      <c r="AW190" s="111"/>
    </row>
    <row r="191" spans="1:49" ht="29" thickBot="1" x14ac:dyDescent="0.4">
      <c r="A191" s="77"/>
      <c r="B191" s="2"/>
      <c r="C191" s="2"/>
      <c r="D191" s="2"/>
      <c r="E191" s="2"/>
      <c r="F191" s="7"/>
      <c r="G191" s="7"/>
      <c r="H191" s="27"/>
      <c r="I191" s="28"/>
      <c r="J191" s="29"/>
      <c r="K191" s="30"/>
      <c r="L191" s="31"/>
      <c r="M191" s="32"/>
      <c r="N191" s="17"/>
      <c r="O191" s="18"/>
      <c r="P191" s="19"/>
      <c r="Q191" s="35"/>
      <c r="R191" s="74"/>
      <c r="S191" s="75"/>
      <c r="T191" s="8"/>
      <c r="U191" s="9"/>
      <c r="V191" s="3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12"/>
      <c r="AK191" s="2"/>
      <c r="AL191" s="2"/>
      <c r="AM191" s="2"/>
      <c r="AN191" s="4"/>
      <c r="AO191" s="2"/>
      <c r="AP191" s="33"/>
      <c r="AQ191" s="203"/>
      <c r="AR191" s="6"/>
      <c r="AS191" s="108"/>
      <c r="AT191" s="105" t="b">
        <f t="shared" si="27"/>
        <v>0</v>
      </c>
      <c r="AU191" s="109" t="str">
        <f t="shared" si="28"/>
        <v>A</v>
      </c>
      <c r="AV191" s="110"/>
      <c r="AW191" s="111"/>
    </row>
    <row r="192" spans="1:49" ht="29" thickBot="1" x14ac:dyDescent="0.4">
      <c r="A192" s="77"/>
      <c r="B192" s="2"/>
      <c r="C192" s="2"/>
      <c r="D192" s="2"/>
      <c r="E192" s="2"/>
      <c r="F192" s="7"/>
      <c r="G192" s="7"/>
      <c r="H192" s="27"/>
      <c r="I192" s="28"/>
      <c r="J192" s="29"/>
      <c r="K192" s="30"/>
      <c r="L192" s="31"/>
      <c r="M192" s="32"/>
      <c r="N192" s="17"/>
      <c r="O192" s="18"/>
      <c r="P192" s="19"/>
      <c r="Q192" s="35"/>
      <c r="R192" s="74"/>
      <c r="S192" s="75"/>
      <c r="T192" s="8"/>
      <c r="U192" s="9"/>
      <c r="V192" s="3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12"/>
      <c r="AK192" s="2"/>
      <c r="AL192" s="2"/>
      <c r="AM192" s="2"/>
      <c r="AN192" s="4"/>
      <c r="AO192" s="2"/>
      <c r="AP192" s="33"/>
      <c r="AQ192" s="203"/>
      <c r="AR192" s="6"/>
      <c r="AS192" s="108"/>
      <c r="AT192" s="105" t="b">
        <f t="shared" si="27"/>
        <v>0</v>
      </c>
      <c r="AU192" s="109" t="str">
        <f t="shared" si="28"/>
        <v>A</v>
      </c>
      <c r="AV192" s="110"/>
      <c r="AW192" s="111"/>
    </row>
    <row r="193" spans="1:49" ht="29" thickBot="1" x14ac:dyDescent="0.4">
      <c r="A193" s="77"/>
      <c r="B193" s="2"/>
      <c r="C193" s="2"/>
      <c r="D193" s="2"/>
      <c r="E193" s="2"/>
      <c r="F193" s="7"/>
      <c r="G193" s="7"/>
      <c r="H193" s="27"/>
      <c r="I193" s="28"/>
      <c r="J193" s="29"/>
      <c r="K193" s="30"/>
      <c r="L193" s="31"/>
      <c r="M193" s="32"/>
      <c r="N193" s="17"/>
      <c r="O193" s="18"/>
      <c r="P193" s="19"/>
      <c r="Q193" s="35"/>
      <c r="R193" s="74"/>
      <c r="S193" s="75"/>
      <c r="T193" s="8"/>
      <c r="U193" s="9"/>
      <c r="V193" s="3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12"/>
      <c r="AK193" s="2"/>
      <c r="AL193" s="2"/>
      <c r="AM193" s="2"/>
      <c r="AN193" s="4"/>
      <c r="AO193" s="2"/>
      <c r="AP193" s="33"/>
      <c r="AQ193" s="203"/>
      <c r="AR193" s="6"/>
      <c r="AS193" s="108"/>
      <c r="AT193" s="105" t="b">
        <f t="shared" si="27"/>
        <v>0</v>
      </c>
      <c r="AU193" s="109" t="str">
        <f t="shared" si="28"/>
        <v>A</v>
      </c>
      <c r="AV193" s="110"/>
      <c r="AW193" s="111"/>
    </row>
    <row r="194" spans="1:49" ht="29" thickBot="1" x14ac:dyDescent="0.4">
      <c r="A194" s="77"/>
      <c r="B194" s="2"/>
      <c r="C194" s="2"/>
      <c r="D194" s="2"/>
      <c r="E194" s="2"/>
      <c r="F194" s="7"/>
      <c r="G194" s="7"/>
      <c r="H194" s="27"/>
      <c r="I194" s="28"/>
      <c r="J194" s="29"/>
      <c r="K194" s="30"/>
      <c r="L194" s="31"/>
      <c r="M194" s="32"/>
      <c r="N194" s="17"/>
      <c r="O194" s="18"/>
      <c r="P194" s="19"/>
      <c r="Q194" s="35"/>
      <c r="R194" s="74"/>
      <c r="S194" s="75"/>
      <c r="T194" s="8"/>
      <c r="U194" s="9"/>
      <c r="V194" s="3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12"/>
      <c r="AK194" s="2"/>
      <c r="AL194" s="2"/>
      <c r="AM194" s="2"/>
      <c r="AN194" s="4"/>
      <c r="AO194" s="2"/>
      <c r="AP194" s="33"/>
      <c r="AQ194" s="203"/>
      <c r="AR194" s="6"/>
      <c r="AS194" s="108"/>
      <c r="AT194" s="105" t="b">
        <f t="shared" si="27"/>
        <v>0</v>
      </c>
      <c r="AU194" s="109" t="str">
        <f t="shared" ref="AU194:AU257" si="31">IF(R194&lt;=20,"A",IF(AND(R194&gt;=21,R194&lt;=50),"B",IF(AND(R194&gt;=51,R194&lt;=80),"C",IF(R194&gt;80,"D"))))</f>
        <v>A</v>
      </c>
      <c r="AV194" s="110"/>
      <c r="AW194" s="111"/>
    </row>
    <row r="195" spans="1:49" ht="29" thickBot="1" x14ac:dyDescent="0.4">
      <c r="A195" s="77"/>
      <c r="B195" s="2"/>
      <c r="C195" s="2"/>
      <c r="D195" s="2"/>
      <c r="E195" s="2"/>
      <c r="F195" s="7"/>
      <c r="G195" s="7"/>
      <c r="H195" s="27"/>
      <c r="I195" s="28"/>
      <c r="J195" s="29"/>
      <c r="K195" s="30"/>
      <c r="L195" s="31"/>
      <c r="M195" s="32"/>
      <c r="N195" s="17"/>
      <c r="O195" s="18"/>
      <c r="P195" s="19"/>
      <c r="Q195" s="35"/>
      <c r="R195" s="74"/>
      <c r="S195" s="75"/>
      <c r="T195" s="8"/>
      <c r="U195" s="9"/>
      <c r="V195" s="3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12"/>
      <c r="AK195" s="2"/>
      <c r="AL195" s="2"/>
      <c r="AM195" s="2"/>
      <c r="AN195" s="4"/>
      <c r="AO195" s="2"/>
      <c r="AP195" s="33"/>
      <c r="AQ195" s="203"/>
      <c r="AR195" s="6"/>
      <c r="AS195" s="108"/>
      <c r="AT195" s="105" t="b">
        <f t="shared" ref="AT195:AT258" si="32">IF(D195="Camp d'unité Ainés","CUA",IF(D195="camp d'unité éclés","CUE",IF(D195="Camp d'unité louveteaux","CULO",IF(D195="Camp d'unité lutins","CULI",IF(D195="Camp de groupe","CG",IF(D195="Camp régional","CR",IF(D195="Camp de regroupement","CGG",IF(D195="Camp de regroupement d'unité Ainés","CRGUA",IF(D195="Camp de regroupement d'unité éclés","CRGUE",IF(D195="Camp de regroupement d'unité louveteaux","CRGULO",IF(D195="Camp de regroupement d'unité lutins","CRGULI",IF(D195="Camp inter groupe","CIG",IF(D195="Séjours adaptés mineurs","SAM",IF(D195="Séjours adaptés adultes","SAA",IF(D195="Séjours ouverts","SOU",IF(D195="Camp régional ouvert","RO"))))))))))))))))</f>
        <v>0</v>
      </c>
      <c r="AU195" s="109" t="str">
        <f t="shared" si="31"/>
        <v>A</v>
      </c>
      <c r="AV195" s="110"/>
      <c r="AW195" s="111"/>
    </row>
    <row r="196" spans="1:49" ht="29" thickBot="1" x14ac:dyDescent="0.4">
      <c r="A196" s="77"/>
      <c r="B196" s="2"/>
      <c r="C196" s="2"/>
      <c r="D196" s="2"/>
      <c r="E196" s="2"/>
      <c r="F196" s="7"/>
      <c r="G196" s="7"/>
      <c r="H196" s="27"/>
      <c r="I196" s="28"/>
      <c r="J196" s="29"/>
      <c r="K196" s="30"/>
      <c r="L196" s="31"/>
      <c r="M196" s="32"/>
      <c r="N196" s="17"/>
      <c r="O196" s="18"/>
      <c r="P196" s="19"/>
      <c r="Q196" s="35"/>
      <c r="R196" s="74"/>
      <c r="S196" s="75"/>
      <c r="T196" s="8"/>
      <c r="U196" s="9"/>
      <c r="V196" s="3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12"/>
      <c r="AK196" s="2"/>
      <c r="AL196" s="2"/>
      <c r="AM196" s="2"/>
      <c r="AN196" s="4"/>
      <c r="AO196" s="2"/>
      <c r="AP196" s="33"/>
      <c r="AQ196" s="203"/>
      <c r="AR196" s="6"/>
      <c r="AS196" s="108"/>
      <c r="AT196" s="105" t="b">
        <f t="shared" si="32"/>
        <v>0</v>
      </c>
      <c r="AU196" s="109" t="str">
        <f t="shared" si="31"/>
        <v>A</v>
      </c>
      <c r="AV196" s="110"/>
      <c r="AW196" s="111"/>
    </row>
    <row r="197" spans="1:49" ht="29" thickBot="1" x14ac:dyDescent="0.4">
      <c r="A197" s="77"/>
      <c r="B197" s="2"/>
      <c r="C197" s="2"/>
      <c r="D197" s="2"/>
      <c r="E197" s="2"/>
      <c r="F197" s="7"/>
      <c r="G197" s="7"/>
      <c r="H197" s="27"/>
      <c r="I197" s="28"/>
      <c r="J197" s="29"/>
      <c r="K197" s="30"/>
      <c r="L197" s="31"/>
      <c r="M197" s="32"/>
      <c r="N197" s="17"/>
      <c r="O197" s="18"/>
      <c r="P197" s="19"/>
      <c r="Q197" s="35"/>
      <c r="R197" s="74"/>
      <c r="S197" s="75"/>
      <c r="T197" s="8"/>
      <c r="U197" s="9"/>
      <c r="V197" s="3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12"/>
      <c r="AK197" s="2"/>
      <c r="AL197" s="2"/>
      <c r="AM197" s="2"/>
      <c r="AN197" s="4"/>
      <c r="AO197" s="2"/>
      <c r="AP197" s="33"/>
      <c r="AQ197" s="203"/>
      <c r="AR197" s="6"/>
      <c r="AS197" s="108"/>
      <c r="AT197" s="105" t="b">
        <f t="shared" si="32"/>
        <v>0</v>
      </c>
      <c r="AU197" s="109" t="str">
        <f t="shared" si="31"/>
        <v>A</v>
      </c>
      <c r="AV197" s="110"/>
      <c r="AW197" s="111"/>
    </row>
    <row r="198" spans="1:49" ht="29" thickBot="1" x14ac:dyDescent="0.4">
      <c r="A198" s="77"/>
      <c r="B198" s="2"/>
      <c r="C198" s="2"/>
      <c r="D198" s="2"/>
      <c r="E198" s="2"/>
      <c r="F198" s="7"/>
      <c r="G198" s="7"/>
      <c r="H198" s="27"/>
      <c r="I198" s="28"/>
      <c r="J198" s="29"/>
      <c r="K198" s="30"/>
      <c r="L198" s="31"/>
      <c r="M198" s="32"/>
      <c r="N198" s="17"/>
      <c r="O198" s="18"/>
      <c r="P198" s="19"/>
      <c r="Q198" s="35"/>
      <c r="R198" s="74"/>
      <c r="S198" s="75"/>
      <c r="T198" s="8"/>
      <c r="U198" s="9"/>
      <c r="V198" s="3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12"/>
      <c r="AK198" s="2"/>
      <c r="AL198" s="2"/>
      <c r="AM198" s="2"/>
      <c r="AN198" s="4"/>
      <c r="AO198" s="2"/>
      <c r="AP198" s="33"/>
      <c r="AQ198" s="203"/>
      <c r="AR198" s="6"/>
      <c r="AS198" s="108"/>
      <c r="AT198" s="105" t="b">
        <f t="shared" si="32"/>
        <v>0</v>
      </c>
      <c r="AU198" s="109" t="str">
        <f t="shared" si="31"/>
        <v>A</v>
      </c>
      <c r="AV198" s="110"/>
      <c r="AW198" s="111"/>
    </row>
    <row r="199" spans="1:49" ht="29" thickBot="1" x14ac:dyDescent="0.4">
      <c r="A199" s="77"/>
      <c r="B199" s="2"/>
      <c r="C199" s="2"/>
      <c r="D199" s="2"/>
      <c r="E199" s="2"/>
      <c r="F199" s="7"/>
      <c r="G199" s="7"/>
      <c r="H199" s="27"/>
      <c r="I199" s="28"/>
      <c r="J199" s="29"/>
      <c r="K199" s="30"/>
      <c r="L199" s="31"/>
      <c r="M199" s="32"/>
      <c r="N199" s="17"/>
      <c r="O199" s="18"/>
      <c r="P199" s="19"/>
      <c r="Q199" s="35"/>
      <c r="R199" s="74"/>
      <c r="S199" s="75"/>
      <c r="T199" s="8"/>
      <c r="U199" s="9"/>
      <c r="V199" s="3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12"/>
      <c r="AK199" s="2"/>
      <c r="AL199" s="2"/>
      <c r="AM199" s="2"/>
      <c r="AN199" s="4"/>
      <c r="AO199" s="2"/>
      <c r="AP199" s="33"/>
      <c r="AQ199" s="203"/>
      <c r="AR199" s="6"/>
      <c r="AS199" s="108"/>
      <c r="AT199" s="105" t="b">
        <f t="shared" si="32"/>
        <v>0</v>
      </c>
      <c r="AU199" s="109" t="str">
        <f t="shared" si="31"/>
        <v>A</v>
      </c>
      <c r="AV199" s="110"/>
      <c r="AW199" s="111"/>
    </row>
    <row r="200" spans="1:49" ht="29" thickBot="1" x14ac:dyDescent="0.4">
      <c r="A200" s="77"/>
      <c r="B200" s="2"/>
      <c r="C200" s="2"/>
      <c r="D200" s="2"/>
      <c r="E200" s="2"/>
      <c r="F200" s="7"/>
      <c r="G200" s="7"/>
      <c r="H200" s="27"/>
      <c r="I200" s="28"/>
      <c r="J200" s="29"/>
      <c r="K200" s="30"/>
      <c r="L200" s="31"/>
      <c r="M200" s="32"/>
      <c r="N200" s="17"/>
      <c r="O200" s="18"/>
      <c r="P200" s="19"/>
      <c r="Q200" s="35"/>
      <c r="R200" s="74"/>
      <c r="S200" s="75"/>
      <c r="T200" s="8"/>
      <c r="U200" s="9"/>
      <c r="V200" s="3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12"/>
      <c r="AK200" s="2"/>
      <c r="AL200" s="2"/>
      <c r="AM200" s="2"/>
      <c r="AN200" s="4"/>
      <c r="AO200" s="2"/>
      <c r="AP200" s="33"/>
      <c r="AQ200" s="203"/>
      <c r="AR200" s="6"/>
      <c r="AS200" s="108"/>
      <c r="AT200" s="105" t="b">
        <f t="shared" si="32"/>
        <v>0</v>
      </c>
      <c r="AU200" s="109" t="str">
        <f t="shared" si="31"/>
        <v>A</v>
      </c>
      <c r="AV200" s="110"/>
      <c r="AW200" s="111"/>
    </row>
    <row r="201" spans="1:49" ht="29" thickBot="1" x14ac:dyDescent="0.4">
      <c r="A201" s="77"/>
      <c r="B201" s="2"/>
      <c r="C201" s="2"/>
      <c r="D201" s="2"/>
      <c r="E201" s="2"/>
      <c r="F201" s="7"/>
      <c r="G201" s="7"/>
      <c r="H201" s="27"/>
      <c r="I201" s="28"/>
      <c r="J201" s="29"/>
      <c r="K201" s="30"/>
      <c r="L201" s="31"/>
      <c r="M201" s="32"/>
      <c r="N201" s="17"/>
      <c r="O201" s="18"/>
      <c r="P201" s="19"/>
      <c r="Q201" s="35"/>
      <c r="R201" s="74"/>
      <c r="S201" s="75"/>
      <c r="T201" s="8"/>
      <c r="U201" s="9"/>
      <c r="V201" s="3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12"/>
      <c r="AK201" s="2"/>
      <c r="AL201" s="2"/>
      <c r="AM201" s="2"/>
      <c r="AN201" s="4"/>
      <c r="AO201" s="2"/>
      <c r="AP201" s="33"/>
      <c r="AQ201" s="203"/>
      <c r="AR201" s="6"/>
      <c r="AS201" s="108"/>
      <c r="AT201" s="105" t="b">
        <f t="shared" si="32"/>
        <v>0</v>
      </c>
      <c r="AU201" s="109" t="str">
        <f t="shared" si="31"/>
        <v>A</v>
      </c>
      <c r="AV201" s="110"/>
      <c r="AW201" s="111"/>
    </row>
    <row r="202" spans="1:49" ht="29" thickBot="1" x14ac:dyDescent="0.4">
      <c r="A202" s="77"/>
      <c r="B202" s="2"/>
      <c r="C202" s="2"/>
      <c r="D202" s="2"/>
      <c r="E202" s="2"/>
      <c r="F202" s="7"/>
      <c r="G202" s="7"/>
      <c r="H202" s="27"/>
      <c r="I202" s="28"/>
      <c r="J202" s="29"/>
      <c r="K202" s="30"/>
      <c r="L202" s="31"/>
      <c r="M202" s="32"/>
      <c r="N202" s="17"/>
      <c r="O202" s="18"/>
      <c r="P202" s="19"/>
      <c r="Q202" s="35"/>
      <c r="R202" s="74"/>
      <c r="S202" s="75"/>
      <c r="T202" s="8"/>
      <c r="U202" s="9"/>
      <c r="V202" s="3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12"/>
      <c r="AK202" s="2"/>
      <c r="AL202" s="2"/>
      <c r="AM202" s="2"/>
      <c r="AN202" s="4"/>
      <c r="AO202" s="2"/>
      <c r="AP202" s="33"/>
      <c r="AQ202" s="203"/>
      <c r="AR202" s="6"/>
      <c r="AS202" s="108"/>
      <c r="AT202" s="105" t="b">
        <f t="shared" si="32"/>
        <v>0</v>
      </c>
      <c r="AU202" s="109" t="str">
        <f t="shared" si="31"/>
        <v>A</v>
      </c>
      <c r="AV202" s="110"/>
      <c r="AW202" s="111"/>
    </row>
    <row r="203" spans="1:49" ht="29" thickBot="1" x14ac:dyDescent="0.4">
      <c r="A203" s="77"/>
      <c r="B203" s="2"/>
      <c r="C203" s="2"/>
      <c r="D203" s="2"/>
      <c r="E203" s="2"/>
      <c r="F203" s="7"/>
      <c r="G203" s="7"/>
      <c r="H203" s="27"/>
      <c r="I203" s="28"/>
      <c r="J203" s="29"/>
      <c r="K203" s="30"/>
      <c r="L203" s="31"/>
      <c r="M203" s="32"/>
      <c r="N203" s="17"/>
      <c r="O203" s="18"/>
      <c r="P203" s="19"/>
      <c r="Q203" s="35"/>
      <c r="R203" s="74"/>
      <c r="S203" s="75"/>
      <c r="T203" s="8"/>
      <c r="U203" s="9"/>
      <c r="V203" s="3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12"/>
      <c r="AK203" s="2"/>
      <c r="AL203" s="2"/>
      <c r="AM203" s="2"/>
      <c r="AN203" s="4"/>
      <c r="AO203" s="2"/>
      <c r="AP203" s="33"/>
      <c r="AQ203" s="203"/>
      <c r="AR203" s="6"/>
      <c r="AS203" s="108"/>
      <c r="AT203" s="105" t="b">
        <f t="shared" si="32"/>
        <v>0</v>
      </c>
      <c r="AU203" s="109" t="str">
        <f t="shared" si="31"/>
        <v>A</v>
      </c>
      <c r="AV203" s="110"/>
      <c r="AW203" s="111"/>
    </row>
    <row r="204" spans="1:49" ht="29" thickBot="1" x14ac:dyDescent="0.4">
      <c r="A204" s="77"/>
      <c r="B204" s="2"/>
      <c r="C204" s="2"/>
      <c r="D204" s="2"/>
      <c r="E204" s="2"/>
      <c r="F204" s="7"/>
      <c r="G204" s="7"/>
      <c r="H204" s="27"/>
      <c r="I204" s="28"/>
      <c r="J204" s="29"/>
      <c r="K204" s="30"/>
      <c r="L204" s="31"/>
      <c r="M204" s="32"/>
      <c r="N204" s="17"/>
      <c r="O204" s="18"/>
      <c r="P204" s="19"/>
      <c r="Q204" s="35"/>
      <c r="R204" s="74"/>
      <c r="S204" s="75"/>
      <c r="T204" s="8"/>
      <c r="U204" s="9"/>
      <c r="V204" s="3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12"/>
      <c r="AK204" s="2"/>
      <c r="AL204" s="2"/>
      <c r="AM204" s="2"/>
      <c r="AN204" s="4"/>
      <c r="AO204" s="2"/>
      <c r="AP204" s="33"/>
      <c r="AQ204" s="203"/>
      <c r="AR204" s="6"/>
      <c r="AS204" s="108"/>
      <c r="AT204" s="105" t="b">
        <f t="shared" si="32"/>
        <v>0</v>
      </c>
      <c r="AU204" s="109" t="str">
        <f t="shared" si="31"/>
        <v>A</v>
      </c>
      <c r="AV204" s="110"/>
      <c r="AW204" s="111"/>
    </row>
    <row r="205" spans="1:49" ht="29" thickBot="1" x14ac:dyDescent="0.4">
      <c r="A205" s="77"/>
      <c r="B205" s="2"/>
      <c r="C205" s="2"/>
      <c r="D205" s="2"/>
      <c r="E205" s="2"/>
      <c r="F205" s="7"/>
      <c r="G205" s="7"/>
      <c r="H205" s="27"/>
      <c r="I205" s="28"/>
      <c r="J205" s="29"/>
      <c r="K205" s="30"/>
      <c r="L205" s="31"/>
      <c r="M205" s="32"/>
      <c r="N205" s="17"/>
      <c r="O205" s="18"/>
      <c r="P205" s="19"/>
      <c r="Q205" s="35"/>
      <c r="R205" s="74"/>
      <c r="S205" s="75"/>
      <c r="T205" s="8"/>
      <c r="U205" s="9"/>
      <c r="V205" s="3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12"/>
      <c r="AK205" s="2"/>
      <c r="AL205" s="2"/>
      <c r="AM205" s="2"/>
      <c r="AN205" s="4"/>
      <c r="AO205" s="2"/>
      <c r="AP205" s="33"/>
      <c r="AQ205" s="203"/>
      <c r="AR205" s="6"/>
      <c r="AS205" s="108"/>
      <c r="AT205" s="105" t="b">
        <f t="shared" si="32"/>
        <v>0</v>
      </c>
      <c r="AU205" s="109" t="str">
        <f t="shared" si="31"/>
        <v>A</v>
      </c>
      <c r="AV205" s="110"/>
      <c r="AW205" s="111"/>
    </row>
    <row r="206" spans="1:49" ht="29" thickBot="1" x14ac:dyDescent="0.4">
      <c r="A206" s="77"/>
      <c r="B206" s="2"/>
      <c r="C206" s="2"/>
      <c r="D206" s="2"/>
      <c r="E206" s="2"/>
      <c r="F206" s="7"/>
      <c r="G206" s="7"/>
      <c r="H206" s="27"/>
      <c r="I206" s="28"/>
      <c r="J206" s="29"/>
      <c r="K206" s="30"/>
      <c r="L206" s="31"/>
      <c r="M206" s="32"/>
      <c r="N206" s="17"/>
      <c r="O206" s="18"/>
      <c r="P206" s="19"/>
      <c r="Q206" s="35"/>
      <c r="R206" s="74"/>
      <c r="S206" s="75"/>
      <c r="T206" s="8"/>
      <c r="U206" s="9"/>
      <c r="V206" s="3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12"/>
      <c r="AK206" s="2"/>
      <c r="AL206" s="2"/>
      <c r="AM206" s="2"/>
      <c r="AN206" s="4"/>
      <c r="AO206" s="2"/>
      <c r="AP206" s="33"/>
      <c r="AQ206" s="203"/>
      <c r="AR206" s="6"/>
      <c r="AS206" s="108"/>
      <c r="AT206" s="105" t="b">
        <f t="shared" si="32"/>
        <v>0</v>
      </c>
      <c r="AU206" s="109" t="str">
        <f t="shared" si="31"/>
        <v>A</v>
      </c>
      <c r="AV206" s="110"/>
      <c r="AW206" s="111"/>
    </row>
    <row r="207" spans="1:49" ht="29" thickBot="1" x14ac:dyDescent="0.4">
      <c r="A207" s="77"/>
      <c r="B207" s="2"/>
      <c r="C207" s="2"/>
      <c r="D207" s="2"/>
      <c r="E207" s="2"/>
      <c r="F207" s="7"/>
      <c r="G207" s="7"/>
      <c r="H207" s="27"/>
      <c r="I207" s="28"/>
      <c r="J207" s="29"/>
      <c r="K207" s="30"/>
      <c r="L207" s="31"/>
      <c r="M207" s="32"/>
      <c r="N207" s="17"/>
      <c r="O207" s="18"/>
      <c r="P207" s="19"/>
      <c r="Q207" s="35"/>
      <c r="R207" s="74"/>
      <c r="S207" s="75"/>
      <c r="T207" s="8"/>
      <c r="U207" s="9"/>
      <c r="V207" s="3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12"/>
      <c r="AK207" s="2"/>
      <c r="AL207" s="2"/>
      <c r="AM207" s="2"/>
      <c r="AN207" s="4"/>
      <c r="AO207" s="2"/>
      <c r="AP207" s="33"/>
      <c r="AQ207" s="203"/>
      <c r="AR207" s="6"/>
      <c r="AS207" s="108"/>
      <c r="AT207" s="105" t="b">
        <f t="shared" si="32"/>
        <v>0</v>
      </c>
      <c r="AU207" s="109" t="str">
        <f t="shared" si="31"/>
        <v>A</v>
      </c>
      <c r="AV207" s="110"/>
      <c r="AW207" s="111"/>
    </row>
    <row r="208" spans="1:49" ht="29" thickBot="1" x14ac:dyDescent="0.4">
      <c r="A208" s="77"/>
      <c r="B208" s="2"/>
      <c r="C208" s="2"/>
      <c r="D208" s="2"/>
      <c r="E208" s="2"/>
      <c r="F208" s="7"/>
      <c r="G208" s="7"/>
      <c r="H208" s="27"/>
      <c r="I208" s="28"/>
      <c r="J208" s="29"/>
      <c r="K208" s="30"/>
      <c r="L208" s="31"/>
      <c r="M208" s="32"/>
      <c r="N208" s="17"/>
      <c r="O208" s="18"/>
      <c r="P208" s="19"/>
      <c r="Q208" s="35"/>
      <c r="R208" s="74"/>
      <c r="S208" s="75"/>
      <c r="T208" s="8"/>
      <c r="U208" s="9"/>
      <c r="V208" s="3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12"/>
      <c r="AK208" s="2"/>
      <c r="AL208" s="2"/>
      <c r="AM208" s="2"/>
      <c r="AN208" s="4"/>
      <c r="AO208" s="2"/>
      <c r="AP208" s="33"/>
      <c r="AQ208" s="203"/>
      <c r="AR208" s="6"/>
      <c r="AS208" s="108"/>
      <c r="AT208" s="105" t="b">
        <f t="shared" si="32"/>
        <v>0</v>
      </c>
      <c r="AU208" s="109" t="str">
        <f t="shared" si="31"/>
        <v>A</v>
      </c>
      <c r="AV208" s="110"/>
      <c r="AW208" s="111"/>
    </row>
    <row r="209" spans="1:49" ht="29" thickBot="1" x14ac:dyDescent="0.4">
      <c r="A209" s="77"/>
      <c r="B209" s="2"/>
      <c r="C209" s="2"/>
      <c r="D209" s="2"/>
      <c r="E209" s="2"/>
      <c r="F209" s="7"/>
      <c r="G209" s="7"/>
      <c r="H209" s="27"/>
      <c r="I209" s="28"/>
      <c r="J209" s="29"/>
      <c r="K209" s="30"/>
      <c r="L209" s="31"/>
      <c r="M209" s="32"/>
      <c r="N209" s="17"/>
      <c r="O209" s="18"/>
      <c r="P209" s="19"/>
      <c r="Q209" s="35"/>
      <c r="R209" s="74"/>
      <c r="S209" s="75"/>
      <c r="T209" s="8"/>
      <c r="U209" s="9"/>
      <c r="V209" s="3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12"/>
      <c r="AK209" s="2"/>
      <c r="AL209" s="2"/>
      <c r="AM209" s="2"/>
      <c r="AN209" s="4"/>
      <c r="AO209" s="2"/>
      <c r="AP209" s="33"/>
      <c r="AQ209" s="203"/>
      <c r="AR209" s="6"/>
      <c r="AS209" s="108"/>
      <c r="AT209" s="105" t="b">
        <f t="shared" si="32"/>
        <v>0</v>
      </c>
      <c r="AU209" s="109" t="str">
        <f t="shared" si="31"/>
        <v>A</v>
      </c>
      <c r="AV209" s="110"/>
      <c r="AW209" s="111"/>
    </row>
    <row r="210" spans="1:49" ht="29" thickBot="1" x14ac:dyDescent="0.4">
      <c r="A210" s="77"/>
      <c r="B210" s="2"/>
      <c r="C210" s="2"/>
      <c r="D210" s="2"/>
      <c r="E210" s="2"/>
      <c r="F210" s="7"/>
      <c r="G210" s="7"/>
      <c r="H210" s="27"/>
      <c r="I210" s="28"/>
      <c r="J210" s="29"/>
      <c r="K210" s="30"/>
      <c r="L210" s="31"/>
      <c r="M210" s="32"/>
      <c r="N210" s="17"/>
      <c r="O210" s="18"/>
      <c r="P210" s="19"/>
      <c r="Q210" s="35"/>
      <c r="R210" s="74"/>
      <c r="S210" s="75"/>
      <c r="T210" s="8"/>
      <c r="U210" s="9"/>
      <c r="V210" s="3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12"/>
      <c r="AK210" s="2"/>
      <c r="AL210" s="2"/>
      <c r="AM210" s="2"/>
      <c r="AN210" s="4"/>
      <c r="AO210" s="2"/>
      <c r="AP210" s="33"/>
      <c r="AQ210" s="203"/>
      <c r="AR210" s="6"/>
      <c r="AS210" s="108"/>
      <c r="AT210" s="105" t="b">
        <f t="shared" si="32"/>
        <v>0</v>
      </c>
      <c r="AU210" s="109" t="str">
        <f t="shared" si="31"/>
        <v>A</v>
      </c>
      <c r="AV210" s="110"/>
      <c r="AW210" s="111"/>
    </row>
    <row r="211" spans="1:49" ht="29" thickBot="1" x14ac:dyDescent="0.4">
      <c r="A211" s="77"/>
      <c r="B211" s="2"/>
      <c r="C211" s="2"/>
      <c r="D211" s="2"/>
      <c r="E211" s="2"/>
      <c r="F211" s="7"/>
      <c r="G211" s="7"/>
      <c r="H211" s="27"/>
      <c r="I211" s="28"/>
      <c r="J211" s="29"/>
      <c r="K211" s="30"/>
      <c r="L211" s="31"/>
      <c r="M211" s="32"/>
      <c r="N211" s="17"/>
      <c r="O211" s="18"/>
      <c r="P211" s="19"/>
      <c r="Q211" s="35"/>
      <c r="R211" s="74"/>
      <c r="S211" s="75"/>
      <c r="T211" s="8"/>
      <c r="U211" s="9"/>
      <c r="V211" s="3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12"/>
      <c r="AK211" s="2"/>
      <c r="AL211" s="2"/>
      <c r="AM211" s="2"/>
      <c r="AN211" s="4"/>
      <c r="AO211" s="2"/>
      <c r="AP211" s="33"/>
      <c r="AQ211" s="203"/>
      <c r="AR211" s="6"/>
      <c r="AS211" s="108"/>
      <c r="AT211" s="105" t="b">
        <f t="shared" si="32"/>
        <v>0</v>
      </c>
      <c r="AU211" s="109" t="str">
        <f t="shared" si="31"/>
        <v>A</v>
      </c>
      <c r="AV211" s="110"/>
      <c r="AW211" s="111"/>
    </row>
    <row r="212" spans="1:49" ht="29" thickBot="1" x14ac:dyDescent="0.4">
      <c r="A212" s="77"/>
      <c r="B212" s="2"/>
      <c r="C212" s="2"/>
      <c r="D212" s="2"/>
      <c r="E212" s="2"/>
      <c r="F212" s="7"/>
      <c r="G212" s="7"/>
      <c r="H212" s="27"/>
      <c r="I212" s="28"/>
      <c r="J212" s="29"/>
      <c r="K212" s="30"/>
      <c r="L212" s="31"/>
      <c r="M212" s="32"/>
      <c r="N212" s="17"/>
      <c r="O212" s="18"/>
      <c r="P212" s="19"/>
      <c r="Q212" s="35"/>
      <c r="R212" s="74"/>
      <c r="S212" s="75"/>
      <c r="T212" s="8"/>
      <c r="U212" s="9"/>
      <c r="V212" s="3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12"/>
      <c r="AK212" s="2"/>
      <c r="AL212" s="2"/>
      <c r="AM212" s="2"/>
      <c r="AN212" s="4"/>
      <c r="AO212" s="2"/>
      <c r="AP212" s="33"/>
      <c r="AQ212" s="203"/>
      <c r="AR212" s="6"/>
      <c r="AS212" s="108"/>
      <c r="AT212" s="105" t="b">
        <f t="shared" si="32"/>
        <v>0</v>
      </c>
      <c r="AU212" s="109" t="str">
        <f t="shared" si="31"/>
        <v>A</v>
      </c>
      <c r="AV212" s="110"/>
      <c r="AW212" s="111"/>
    </row>
    <row r="213" spans="1:49" ht="29" thickBot="1" x14ac:dyDescent="0.4">
      <c r="A213" s="77"/>
      <c r="B213" s="2"/>
      <c r="C213" s="2"/>
      <c r="D213" s="2"/>
      <c r="E213" s="2"/>
      <c r="F213" s="7"/>
      <c r="G213" s="7"/>
      <c r="H213" s="27"/>
      <c r="I213" s="28"/>
      <c r="J213" s="29"/>
      <c r="K213" s="30"/>
      <c r="L213" s="31"/>
      <c r="M213" s="32"/>
      <c r="N213" s="17"/>
      <c r="O213" s="18"/>
      <c r="P213" s="19"/>
      <c r="Q213" s="35"/>
      <c r="R213" s="74"/>
      <c r="S213" s="75"/>
      <c r="T213" s="8"/>
      <c r="U213" s="9"/>
      <c r="V213" s="3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12"/>
      <c r="AK213" s="2"/>
      <c r="AL213" s="2"/>
      <c r="AM213" s="2"/>
      <c r="AN213" s="4"/>
      <c r="AO213" s="2"/>
      <c r="AP213" s="33"/>
      <c r="AQ213" s="203"/>
      <c r="AR213" s="6"/>
      <c r="AS213" s="108"/>
      <c r="AT213" s="105" t="b">
        <f t="shared" si="32"/>
        <v>0</v>
      </c>
      <c r="AU213" s="109" t="str">
        <f t="shared" si="31"/>
        <v>A</v>
      </c>
      <c r="AV213" s="110"/>
      <c r="AW213" s="111"/>
    </row>
    <row r="214" spans="1:49" ht="29" thickBot="1" x14ac:dyDescent="0.4">
      <c r="A214" s="77"/>
      <c r="B214" s="2"/>
      <c r="C214" s="2"/>
      <c r="D214" s="2"/>
      <c r="E214" s="2"/>
      <c r="F214" s="7"/>
      <c r="G214" s="7"/>
      <c r="H214" s="27"/>
      <c r="I214" s="28"/>
      <c r="J214" s="29"/>
      <c r="K214" s="30"/>
      <c r="L214" s="31"/>
      <c r="M214" s="32"/>
      <c r="N214" s="17"/>
      <c r="O214" s="18"/>
      <c r="P214" s="19"/>
      <c r="Q214" s="35"/>
      <c r="R214" s="74"/>
      <c r="S214" s="75"/>
      <c r="T214" s="8"/>
      <c r="U214" s="9"/>
      <c r="V214" s="3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12"/>
      <c r="AK214" s="2"/>
      <c r="AL214" s="2"/>
      <c r="AM214" s="2"/>
      <c r="AN214" s="4"/>
      <c r="AO214" s="2"/>
      <c r="AP214" s="33"/>
      <c r="AQ214" s="203"/>
      <c r="AR214" s="6"/>
      <c r="AS214" s="108"/>
      <c r="AT214" s="105" t="b">
        <f t="shared" si="32"/>
        <v>0</v>
      </c>
      <c r="AU214" s="109" t="str">
        <f t="shared" si="31"/>
        <v>A</v>
      </c>
      <c r="AV214" s="110"/>
      <c r="AW214" s="111"/>
    </row>
    <row r="215" spans="1:49" ht="29" thickBot="1" x14ac:dyDescent="0.4">
      <c r="A215" s="77"/>
      <c r="B215" s="2"/>
      <c r="C215" s="2"/>
      <c r="D215" s="2"/>
      <c r="E215" s="2"/>
      <c r="F215" s="7"/>
      <c r="G215" s="7"/>
      <c r="H215" s="27"/>
      <c r="I215" s="28"/>
      <c r="J215" s="29"/>
      <c r="K215" s="30"/>
      <c r="L215" s="31"/>
      <c r="M215" s="32"/>
      <c r="N215" s="17"/>
      <c r="O215" s="18"/>
      <c r="P215" s="19"/>
      <c r="Q215" s="35"/>
      <c r="R215" s="74"/>
      <c r="S215" s="75"/>
      <c r="T215" s="8"/>
      <c r="U215" s="9"/>
      <c r="V215" s="3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12"/>
      <c r="AK215" s="2"/>
      <c r="AL215" s="2"/>
      <c r="AM215" s="2"/>
      <c r="AN215" s="4"/>
      <c r="AO215" s="2"/>
      <c r="AP215" s="33"/>
      <c r="AQ215" s="203"/>
      <c r="AR215" s="6"/>
      <c r="AS215" s="108"/>
      <c r="AT215" s="105" t="b">
        <f t="shared" si="32"/>
        <v>0</v>
      </c>
      <c r="AU215" s="109" t="str">
        <f t="shared" si="31"/>
        <v>A</v>
      </c>
      <c r="AV215" s="110"/>
      <c r="AW215" s="111"/>
    </row>
    <row r="216" spans="1:49" ht="29" thickBot="1" x14ac:dyDescent="0.4">
      <c r="A216" s="77"/>
      <c r="B216" s="2"/>
      <c r="C216" s="2"/>
      <c r="D216" s="2"/>
      <c r="E216" s="2"/>
      <c r="F216" s="7"/>
      <c r="G216" s="7"/>
      <c r="H216" s="27"/>
      <c r="I216" s="28"/>
      <c r="J216" s="29"/>
      <c r="K216" s="30"/>
      <c r="L216" s="31"/>
      <c r="M216" s="32"/>
      <c r="N216" s="17"/>
      <c r="O216" s="18"/>
      <c r="P216" s="19"/>
      <c r="Q216" s="35"/>
      <c r="R216" s="74"/>
      <c r="S216" s="75"/>
      <c r="T216" s="8"/>
      <c r="U216" s="9"/>
      <c r="V216" s="3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12"/>
      <c r="AK216" s="2"/>
      <c r="AL216" s="2"/>
      <c r="AM216" s="2"/>
      <c r="AN216" s="4"/>
      <c r="AO216" s="2"/>
      <c r="AP216" s="33"/>
      <c r="AQ216" s="203"/>
      <c r="AR216" s="6"/>
      <c r="AS216" s="108"/>
      <c r="AT216" s="105" t="b">
        <f t="shared" si="32"/>
        <v>0</v>
      </c>
      <c r="AU216" s="109" t="str">
        <f t="shared" si="31"/>
        <v>A</v>
      </c>
      <c r="AV216" s="110"/>
      <c r="AW216" s="111"/>
    </row>
    <row r="217" spans="1:49" ht="29" thickBot="1" x14ac:dyDescent="0.4">
      <c r="A217" s="77"/>
      <c r="B217" s="2"/>
      <c r="C217" s="2"/>
      <c r="D217" s="2"/>
      <c r="E217" s="2"/>
      <c r="F217" s="7"/>
      <c r="G217" s="7"/>
      <c r="H217" s="27"/>
      <c r="I217" s="28"/>
      <c r="J217" s="29"/>
      <c r="K217" s="30"/>
      <c r="L217" s="31"/>
      <c r="M217" s="32"/>
      <c r="N217" s="17"/>
      <c r="O217" s="18"/>
      <c r="P217" s="19"/>
      <c r="Q217" s="35"/>
      <c r="R217" s="74"/>
      <c r="S217" s="75"/>
      <c r="T217" s="8"/>
      <c r="U217" s="9"/>
      <c r="V217" s="3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12"/>
      <c r="AK217" s="2"/>
      <c r="AL217" s="2"/>
      <c r="AM217" s="2"/>
      <c r="AN217" s="4"/>
      <c r="AO217" s="2"/>
      <c r="AP217" s="33"/>
      <c r="AQ217" s="203"/>
      <c r="AR217" s="6"/>
      <c r="AS217" s="108"/>
      <c r="AT217" s="105" t="b">
        <f t="shared" si="32"/>
        <v>0</v>
      </c>
      <c r="AU217" s="109" t="str">
        <f t="shared" si="31"/>
        <v>A</v>
      </c>
      <c r="AV217" s="110"/>
      <c r="AW217" s="111"/>
    </row>
    <row r="218" spans="1:49" ht="29" thickBot="1" x14ac:dyDescent="0.4">
      <c r="A218" s="77"/>
      <c r="B218" s="2"/>
      <c r="C218" s="2"/>
      <c r="D218" s="2"/>
      <c r="E218" s="2"/>
      <c r="F218" s="7"/>
      <c r="G218" s="7"/>
      <c r="H218" s="27"/>
      <c r="I218" s="28"/>
      <c r="J218" s="29"/>
      <c r="K218" s="30"/>
      <c r="L218" s="31"/>
      <c r="M218" s="32"/>
      <c r="N218" s="17"/>
      <c r="O218" s="18"/>
      <c r="P218" s="19"/>
      <c r="Q218" s="35"/>
      <c r="R218" s="74"/>
      <c r="S218" s="75"/>
      <c r="T218" s="8"/>
      <c r="U218" s="9"/>
      <c r="V218" s="3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12"/>
      <c r="AK218" s="2"/>
      <c r="AL218" s="2"/>
      <c r="AM218" s="2"/>
      <c r="AN218" s="4"/>
      <c r="AO218" s="2"/>
      <c r="AP218" s="33"/>
      <c r="AQ218" s="203"/>
      <c r="AR218" s="6"/>
      <c r="AS218" s="108"/>
      <c r="AT218" s="105" t="b">
        <f t="shared" si="32"/>
        <v>0</v>
      </c>
      <c r="AU218" s="109" t="str">
        <f t="shared" si="31"/>
        <v>A</v>
      </c>
      <c r="AV218" s="110"/>
      <c r="AW218" s="111"/>
    </row>
    <row r="219" spans="1:49" ht="29" thickBot="1" x14ac:dyDescent="0.4">
      <c r="A219" s="77"/>
      <c r="B219" s="2"/>
      <c r="C219" s="2"/>
      <c r="D219" s="2"/>
      <c r="E219" s="2"/>
      <c r="F219" s="7"/>
      <c r="G219" s="7"/>
      <c r="H219" s="27"/>
      <c r="I219" s="28"/>
      <c r="J219" s="29"/>
      <c r="K219" s="30"/>
      <c r="L219" s="31"/>
      <c r="M219" s="32"/>
      <c r="N219" s="17"/>
      <c r="O219" s="18"/>
      <c r="P219" s="19"/>
      <c r="Q219" s="35"/>
      <c r="R219" s="74"/>
      <c r="S219" s="75"/>
      <c r="T219" s="8"/>
      <c r="U219" s="9"/>
      <c r="V219" s="3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12"/>
      <c r="AK219" s="2"/>
      <c r="AL219" s="2"/>
      <c r="AM219" s="2"/>
      <c r="AN219" s="4"/>
      <c r="AO219" s="2"/>
      <c r="AP219" s="33"/>
      <c r="AQ219" s="203"/>
      <c r="AR219" s="6"/>
      <c r="AS219" s="108"/>
      <c r="AT219" s="105" t="b">
        <f t="shared" si="32"/>
        <v>0</v>
      </c>
      <c r="AU219" s="109" t="str">
        <f t="shared" si="31"/>
        <v>A</v>
      </c>
      <c r="AV219" s="110"/>
      <c r="AW219" s="111"/>
    </row>
    <row r="220" spans="1:49" ht="29" thickBot="1" x14ac:dyDescent="0.4">
      <c r="A220" s="77"/>
      <c r="B220" s="2"/>
      <c r="C220" s="2"/>
      <c r="D220" s="2"/>
      <c r="E220" s="2"/>
      <c r="F220" s="7"/>
      <c r="G220" s="7"/>
      <c r="H220" s="27"/>
      <c r="I220" s="28"/>
      <c r="J220" s="29"/>
      <c r="K220" s="30"/>
      <c r="L220" s="31"/>
      <c r="M220" s="32"/>
      <c r="N220" s="17"/>
      <c r="O220" s="18"/>
      <c r="P220" s="19"/>
      <c r="Q220" s="35"/>
      <c r="R220" s="74"/>
      <c r="S220" s="75"/>
      <c r="T220" s="8"/>
      <c r="U220" s="9"/>
      <c r="V220" s="3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12"/>
      <c r="AK220" s="2"/>
      <c r="AL220" s="2"/>
      <c r="AM220" s="2"/>
      <c r="AN220" s="4"/>
      <c r="AO220" s="2"/>
      <c r="AP220" s="33"/>
      <c r="AQ220" s="203"/>
      <c r="AR220" s="6"/>
      <c r="AS220" s="108"/>
      <c r="AT220" s="105" t="b">
        <f t="shared" si="32"/>
        <v>0</v>
      </c>
      <c r="AU220" s="109" t="str">
        <f t="shared" si="31"/>
        <v>A</v>
      </c>
      <c r="AV220" s="110"/>
      <c r="AW220" s="111"/>
    </row>
    <row r="221" spans="1:49" ht="29" thickBot="1" x14ac:dyDescent="0.4">
      <c r="A221" s="77"/>
      <c r="B221" s="2"/>
      <c r="C221" s="2"/>
      <c r="D221" s="2"/>
      <c r="E221" s="2"/>
      <c r="F221" s="7"/>
      <c r="G221" s="7"/>
      <c r="H221" s="27"/>
      <c r="I221" s="28"/>
      <c r="J221" s="29"/>
      <c r="K221" s="30"/>
      <c r="L221" s="31"/>
      <c r="M221" s="32"/>
      <c r="N221" s="17"/>
      <c r="O221" s="18"/>
      <c r="P221" s="19"/>
      <c r="Q221" s="35"/>
      <c r="R221" s="74"/>
      <c r="S221" s="75"/>
      <c r="T221" s="8"/>
      <c r="U221" s="9"/>
      <c r="V221" s="3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12"/>
      <c r="AK221" s="2"/>
      <c r="AL221" s="2"/>
      <c r="AM221" s="2"/>
      <c r="AN221" s="4"/>
      <c r="AO221" s="2"/>
      <c r="AP221" s="33"/>
      <c r="AQ221" s="203"/>
      <c r="AR221" s="6"/>
      <c r="AS221" s="108"/>
      <c r="AT221" s="105" t="b">
        <f t="shared" si="32"/>
        <v>0</v>
      </c>
      <c r="AU221" s="109" t="str">
        <f t="shared" si="31"/>
        <v>A</v>
      </c>
      <c r="AV221" s="110"/>
      <c r="AW221" s="111"/>
    </row>
    <row r="222" spans="1:49" ht="29" thickBot="1" x14ac:dyDescent="0.4">
      <c r="A222" s="77"/>
      <c r="B222" s="2"/>
      <c r="C222" s="2"/>
      <c r="D222" s="2"/>
      <c r="E222" s="2"/>
      <c r="F222" s="7"/>
      <c r="G222" s="7"/>
      <c r="H222" s="27"/>
      <c r="I222" s="28"/>
      <c r="J222" s="29"/>
      <c r="K222" s="30"/>
      <c r="L222" s="31"/>
      <c r="M222" s="32"/>
      <c r="N222" s="17"/>
      <c r="O222" s="18"/>
      <c r="P222" s="19"/>
      <c r="Q222" s="35"/>
      <c r="R222" s="74"/>
      <c r="S222" s="75"/>
      <c r="T222" s="8"/>
      <c r="U222" s="9"/>
      <c r="V222" s="3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12"/>
      <c r="AK222" s="2"/>
      <c r="AL222" s="2"/>
      <c r="AM222" s="2"/>
      <c r="AN222" s="4"/>
      <c r="AO222" s="2"/>
      <c r="AP222" s="33"/>
      <c r="AQ222" s="203"/>
      <c r="AR222" s="6"/>
      <c r="AS222" s="108"/>
      <c r="AT222" s="105" t="b">
        <f t="shared" si="32"/>
        <v>0</v>
      </c>
      <c r="AU222" s="109" t="str">
        <f t="shared" si="31"/>
        <v>A</v>
      </c>
      <c r="AV222" s="110"/>
      <c r="AW222" s="111"/>
    </row>
    <row r="223" spans="1:49" ht="29" thickBot="1" x14ac:dyDescent="0.4">
      <c r="A223" s="77"/>
      <c r="B223" s="2"/>
      <c r="C223" s="2"/>
      <c r="D223" s="2"/>
      <c r="E223" s="2"/>
      <c r="F223" s="7"/>
      <c r="G223" s="7"/>
      <c r="H223" s="27"/>
      <c r="I223" s="28"/>
      <c r="J223" s="29"/>
      <c r="K223" s="30"/>
      <c r="L223" s="31"/>
      <c r="M223" s="32"/>
      <c r="N223" s="17"/>
      <c r="O223" s="18"/>
      <c r="P223" s="19"/>
      <c r="Q223" s="35"/>
      <c r="R223" s="74"/>
      <c r="S223" s="75"/>
      <c r="T223" s="8"/>
      <c r="U223" s="9"/>
      <c r="V223" s="3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12"/>
      <c r="AK223" s="2"/>
      <c r="AL223" s="2"/>
      <c r="AM223" s="2"/>
      <c r="AN223" s="4"/>
      <c r="AO223" s="2"/>
      <c r="AP223" s="33"/>
      <c r="AQ223" s="203"/>
      <c r="AR223" s="6"/>
      <c r="AS223" s="108"/>
      <c r="AT223" s="105" t="b">
        <f t="shared" si="32"/>
        <v>0</v>
      </c>
      <c r="AU223" s="109" t="str">
        <f t="shared" si="31"/>
        <v>A</v>
      </c>
      <c r="AV223" s="110"/>
      <c r="AW223" s="111"/>
    </row>
    <row r="224" spans="1:49" ht="29" thickBot="1" x14ac:dyDescent="0.4">
      <c r="A224" s="77"/>
      <c r="B224" s="2"/>
      <c r="C224" s="2"/>
      <c r="D224" s="2"/>
      <c r="E224" s="2"/>
      <c r="F224" s="7"/>
      <c r="G224" s="7"/>
      <c r="H224" s="27"/>
      <c r="I224" s="28"/>
      <c r="J224" s="29"/>
      <c r="K224" s="30"/>
      <c r="L224" s="31"/>
      <c r="M224" s="32"/>
      <c r="N224" s="17"/>
      <c r="O224" s="18"/>
      <c r="P224" s="19"/>
      <c r="Q224" s="35"/>
      <c r="R224" s="74"/>
      <c r="S224" s="75"/>
      <c r="T224" s="8"/>
      <c r="U224" s="9"/>
      <c r="V224" s="3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12"/>
      <c r="AK224" s="2"/>
      <c r="AL224" s="2"/>
      <c r="AM224" s="2"/>
      <c r="AN224" s="4"/>
      <c r="AO224" s="2"/>
      <c r="AP224" s="33"/>
      <c r="AQ224" s="203"/>
      <c r="AR224" s="6"/>
      <c r="AS224" s="108"/>
      <c r="AT224" s="105" t="b">
        <f t="shared" si="32"/>
        <v>0</v>
      </c>
      <c r="AU224" s="109" t="str">
        <f t="shared" si="31"/>
        <v>A</v>
      </c>
      <c r="AV224" s="110"/>
      <c r="AW224" s="111"/>
    </row>
    <row r="225" spans="1:49" ht="29" thickBot="1" x14ac:dyDescent="0.4">
      <c r="A225" s="77"/>
      <c r="B225" s="2"/>
      <c r="C225" s="2"/>
      <c r="D225" s="2"/>
      <c r="E225" s="2"/>
      <c r="F225" s="7"/>
      <c r="G225" s="7"/>
      <c r="H225" s="27"/>
      <c r="I225" s="28"/>
      <c r="J225" s="29"/>
      <c r="K225" s="30"/>
      <c r="L225" s="31"/>
      <c r="M225" s="32"/>
      <c r="N225" s="17"/>
      <c r="O225" s="18"/>
      <c r="P225" s="19"/>
      <c r="Q225" s="35"/>
      <c r="R225" s="74"/>
      <c r="S225" s="75"/>
      <c r="T225" s="8"/>
      <c r="U225" s="9"/>
      <c r="V225" s="3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12"/>
      <c r="AK225" s="2"/>
      <c r="AL225" s="2"/>
      <c r="AM225" s="2"/>
      <c r="AN225" s="4"/>
      <c r="AO225" s="2"/>
      <c r="AP225" s="33"/>
      <c r="AQ225" s="203"/>
      <c r="AR225" s="6"/>
      <c r="AS225" s="108"/>
      <c r="AT225" s="105" t="b">
        <f t="shared" si="32"/>
        <v>0</v>
      </c>
      <c r="AU225" s="109" t="str">
        <f t="shared" si="31"/>
        <v>A</v>
      </c>
      <c r="AV225" s="110"/>
      <c r="AW225" s="111"/>
    </row>
    <row r="226" spans="1:49" ht="29" thickBot="1" x14ac:dyDescent="0.4">
      <c r="A226" s="77"/>
      <c r="B226" s="2"/>
      <c r="C226" s="2"/>
      <c r="D226" s="2"/>
      <c r="E226" s="2"/>
      <c r="F226" s="7"/>
      <c r="G226" s="7"/>
      <c r="H226" s="27"/>
      <c r="I226" s="28"/>
      <c r="J226" s="29"/>
      <c r="K226" s="30"/>
      <c r="L226" s="31"/>
      <c r="M226" s="32"/>
      <c r="N226" s="17"/>
      <c r="O226" s="18"/>
      <c r="P226" s="19"/>
      <c r="Q226" s="35"/>
      <c r="R226" s="74"/>
      <c r="S226" s="75"/>
      <c r="T226" s="8"/>
      <c r="U226" s="9"/>
      <c r="V226" s="3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12"/>
      <c r="AK226" s="2"/>
      <c r="AL226" s="2"/>
      <c r="AM226" s="2"/>
      <c r="AN226" s="4"/>
      <c r="AO226" s="2"/>
      <c r="AP226" s="33"/>
      <c r="AQ226" s="203"/>
      <c r="AR226" s="6"/>
      <c r="AS226" s="108"/>
      <c r="AT226" s="105" t="b">
        <f t="shared" si="32"/>
        <v>0</v>
      </c>
      <c r="AU226" s="109" t="str">
        <f t="shared" si="31"/>
        <v>A</v>
      </c>
      <c r="AV226" s="110"/>
      <c r="AW226" s="111"/>
    </row>
    <row r="227" spans="1:49" ht="29" thickBot="1" x14ac:dyDescent="0.4">
      <c r="A227" s="77"/>
      <c r="B227" s="2"/>
      <c r="C227" s="2"/>
      <c r="D227" s="2"/>
      <c r="E227" s="2"/>
      <c r="F227" s="7"/>
      <c r="G227" s="7"/>
      <c r="H227" s="27"/>
      <c r="I227" s="28"/>
      <c r="J227" s="29"/>
      <c r="K227" s="30"/>
      <c r="L227" s="31"/>
      <c r="M227" s="32"/>
      <c r="N227" s="17"/>
      <c r="O227" s="18"/>
      <c r="P227" s="19"/>
      <c r="Q227" s="35"/>
      <c r="R227" s="74"/>
      <c r="S227" s="75"/>
      <c r="T227" s="8"/>
      <c r="U227" s="9"/>
      <c r="V227" s="3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12"/>
      <c r="AK227" s="2"/>
      <c r="AL227" s="2"/>
      <c r="AM227" s="2"/>
      <c r="AN227" s="4"/>
      <c r="AO227" s="2"/>
      <c r="AP227" s="33"/>
      <c r="AQ227" s="203"/>
      <c r="AR227" s="6"/>
      <c r="AS227" s="108"/>
      <c r="AT227" s="105" t="b">
        <f t="shared" si="32"/>
        <v>0</v>
      </c>
      <c r="AU227" s="109" t="str">
        <f t="shared" si="31"/>
        <v>A</v>
      </c>
      <c r="AV227" s="110"/>
      <c r="AW227" s="111"/>
    </row>
    <row r="228" spans="1:49" ht="29" thickBot="1" x14ac:dyDescent="0.4">
      <c r="A228" s="77"/>
      <c r="B228" s="2"/>
      <c r="C228" s="2"/>
      <c r="D228" s="2"/>
      <c r="E228" s="2"/>
      <c r="F228" s="7"/>
      <c r="G228" s="7"/>
      <c r="H228" s="27"/>
      <c r="I228" s="28"/>
      <c r="J228" s="29"/>
      <c r="K228" s="30"/>
      <c r="L228" s="31"/>
      <c r="M228" s="32"/>
      <c r="N228" s="17"/>
      <c r="O228" s="18"/>
      <c r="P228" s="19"/>
      <c r="Q228" s="35"/>
      <c r="R228" s="74"/>
      <c r="S228" s="75"/>
      <c r="T228" s="8"/>
      <c r="U228" s="9"/>
      <c r="V228" s="3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12"/>
      <c r="AK228" s="2"/>
      <c r="AL228" s="2"/>
      <c r="AM228" s="2"/>
      <c r="AN228" s="4"/>
      <c r="AO228" s="2"/>
      <c r="AP228" s="33"/>
      <c r="AQ228" s="203"/>
      <c r="AR228" s="6"/>
      <c r="AS228" s="108"/>
      <c r="AT228" s="105" t="b">
        <f t="shared" si="32"/>
        <v>0</v>
      </c>
      <c r="AU228" s="109" t="str">
        <f t="shared" si="31"/>
        <v>A</v>
      </c>
      <c r="AV228" s="110"/>
      <c r="AW228" s="111"/>
    </row>
    <row r="229" spans="1:49" ht="29" thickBot="1" x14ac:dyDescent="0.4">
      <c r="A229" s="77"/>
      <c r="B229" s="2"/>
      <c r="C229" s="2"/>
      <c r="D229" s="2"/>
      <c r="E229" s="2"/>
      <c r="F229" s="7"/>
      <c r="G229" s="7"/>
      <c r="H229" s="27"/>
      <c r="I229" s="28"/>
      <c r="J229" s="29"/>
      <c r="K229" s="30"/>
      <c r="L229" s="31"/>
      <c r="M229" s="32"/>
      <c r="N229" s="17"/>
      <c r="O229" s="18"/>
      <c r="P229" s="19"/>
      <c r="Q229" s="35"/>
      <c r="R229" s="74"/>
      <c r="S229" s="75"/>
      <c r="T229" s="8"/>
      <c r="U229" s="9"/>
      <c r="V229" s="3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12"/>
      <c r="AK229" s="2"/>
      <c r="AL229" s="2"/>
      <c r="AM229" s="2"/>
      <c r="AN229" s="4"/>
      <c r="AO229" s="2"/>
      <c r="AP229" s="33"/>
      <c r="AQ229" s="203"/>
      <c r="AR229" s="6"/>
      <c r="AS229" s="108"/>
      <c r="AT229" s="105" t="b">
        <f t="shared" si="32"/>
        <v>0</v>
      </c>
      <c r="AU229" s="109" t="str">
        <f t="shared" si="31"/>
        <v>A</v>
      </c>
      <c r="AV229" s="110"/>
      <c r="AW229" s="111"/>
    </row>
    <row r="230" spans="1:49" ht="29" thickBot="1" x14ac:dyDescent="0.4">
      <c r="A230" s="77"/>
      <c r="B230" s="2"/>
      <c r="C230" s="2"/>
      <c r="D230" s="2"/>
      <c r="E230" s="2"/>
      <c r="F230" s="7"/>
      <c r="G230" s="7"/>
      <c r="H230" s="27"/>
      <c r="I230" s="28"/>
      <c r="J230" s="29"/>
      <c r="K230" s="30"/>
      <c r="L230" s="31"/>
      <c r="M230" s="32"/>
      <c r="N230" s="17"/>
      <c r="O230" s="18"/>
      <c r="P230" s="19"/>
      <c r="Q230" s="35"/>
      <c r="R230" s="74"/>
      <c r="S230" s="75"/>
      <c r="T230" s="8"/>
      <c r="U230" s="9"/>
      <c r="V230" s="3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12"/>
      <c r="AK230" s="2"/>
      <c r="AL230" s="2"/>
      <c r="AM230" s="2"/>
      <c r="AN230" s="4"/>
      <c r="AO230" s="2"/>
      <c r="AP230" s="33"/>
      <c r="AQ230" s="203"/>
      <c r="AR230" s="6"/>
      <c r="AS230" s="108"/>
      <c r="AT230" s="105" t="b">
        <f t="shared" si="32"/>
        <v>0</v>
      </c>
      <c r="AU230" s="109" t="str">
        <f t="shared" si="31"/>
        <v>A</v>
      </c>
      <c r="AV230" s="110"/>
      <c r="AW230" s="111"/>
    </row>
    <row r="231" spans="1:49" ht="29" thickBot="1" x14ac:dyDescent="0.4">
      <c r="A231" s="77"/>
      <c r="B231" s="2"/>
      <c r="C231" s="2"/>
      <c r="D231" s="2"/>
      <c r="E231" s="2"/>
      <c r="F231" s="7"/>
      <c r="G231" s="7"/>
      <c r="H231" s="27"/>
      <c r="I231" s="28"/>
      <c r="J231" s="29"/>
      <c r="K231" s="30"/>
      <c r="L231" s="31"/>
      <c r="M231" s="32"/>
      <c r="N231" s="17"/>
      <c r="O231" s="18"/>
      <c r="P231" s="19"/>
      <c r="Q231" s="35"/>
      <c r="R231" s="74"/>
      <c r="S231" s="75"/>
      <c r="T231" s="8"/>
      <c r="U231" s="9"/>
      <c r="V231" s="3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12"/>
      <c r="AK231" s="2"/>
      <c r="AL231" s="2"/>
      <c r="AM231" s="2"/>
      <c r="AN231" s="4"/>
      <c r="AO231" s="2"/>
      <c r="AP231" s="33"/>
      <c r="AQ231" s="203"/>
      <c r="AR231" s="6"/>
      <c r="AS231" s="108"/>
      <c r="AT231" s="105" t="b">
        <f t="shared" si="32"/>
        <v>0</v>
      </c>
      <c r="AU231" s="109" t="str">
        <f t="shared" si="31"/>
        <v>A</v>
      </c>
      <c r="AV231" s="110"/>
      <c r="AW231" s="111"/>
    </row>
    <row r="232" spans="1:49" ht="29" thickBot="1" x14ac:dyDescent="0.4">
      <c r="A232" s="77"/>
      <c r="B232" s="2"/>
      <c r="C232" s="2"/>
      <c r="D232" s="2"/>
      <c r="E232" s="2"/>
      <c r="F232" s="7"/>
      <c r="G232" s="7"/>
      <c r="H232" s="27"/>
      <c r="I232" s="28"/>
      <c r="J232" s="29"/>
      <c r="K232" s="30"/>
      <c r="L232" s="31"/>
      <c r="M232" s="32"/>
      <c r="N232" s="17"/>
      <c r="O232" s="18"/>
      <c r="P232" s="19"/>
      <c r="Q232" s="35"/>
      <c r="R232" s="74"/>
      <c r="S232" s="75"/>
      <c r="T232" s="8"/>
      <c r="U232" s="9"/>
      <c r="V232" s="3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12"/>
      <c r="AK232" s="2"/>
      <c r="AL232" s="2"/>
      <c r="AM232" s="2"/>
      <c r="AN232" s="4"/>
      <c r="AO232" s="2"/>
      <c r="AP232" s="33"/>
      <c r="AQ232" s="203"/>
      <c r="AR232" s="6"/>
      <c r="AS232" s="108"/>
      <c r="AT232" s="105" t="b">
        <f t="shared" si="32"/>
        <v>0</v>
      </c>
      <c r="AU232" s="109" t="str">
        <f t="shared" si="31"/>
        <v>A</v>
      </c>
      <c r="AV232" s="110"/>
      <c r="AW232" s="111"/>
    </row>
    <row r="233" spans="1:49" ht="29" thickBot="1" x14ac:dyDescent="0.4">
      <c r="A233" s="77"/>
      <c r="B233" s="2"/>
      <c r="C233" s="2"/>
      <c r="D233" s="2"/>
      <c r="E233" s="2"/>
      <c r="F233" s="7"/>
      <c r="G233" s="7"/>
      <c r="H233" s="27"/>
      <c r="I233" s="28"/>
      <c r="J233" s="29"/>
      <c r="K233" s="30"/>
      <c r="L233" s="31"/>
      <c r="M233" s="32"/>
      <c r="N233" s="17"/>
      <c r="O233" s="18"/>
      <c r="P233" s="19"/>
      <c r="Q233" s="35"/>
      <c r="R233" s="74"/>
      <c r="S233" s="75"/>
      <c r="T233" s="8"/>
      <c r="U233" s="9"/>
      <c r="V233" s="3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12"/>
      <c r="AK233" s="2"/>
      <c r="AL233" s="2"/>
      <c r="AM233" s="2"/>
      <c r="AN233" s="4"/>
      <c r="AO233" s="2"/>
      <c r="AP233" s="33"/>
      <c r="AQ233" s="203"/>
      <c r="AR233" s="6"/>
      <c r="AS233" s="108"/>
      <c r="AT233" s="105" t="b">
        <f t="shared" si="32"/>
        <v>0</v>
      </c>
      <c r="AU233" s="109" t="str">
        <f t="shared" si="31"/>
        <v>A</v>
      </c>
      <c r="AV233" s="110"/>
      <c r="AW233" s="111"/>
    </row>
    <row r="234" spans="1:49" ht="29" thickBot="1" x14ac:dyDescent="0.4">
      <c r="A234" s="77"/>
      <c r="B234" s="2"/>
      <c r="C234" s="2"/>
      <c r="D234" s="2"/>
      <c r="E234" s="2"/>
      <c r="F234" s="7"/>
      <c r="G234" s="7"/>
      <c r="H234" s="27"/>
      <c r="I234" s="28"/>
      <c r="J234" s="29"/>
      <c r="K234" s="30"/>
      <c r="L234" s="31"/>
      <c r="M234" s="32"/>
      <c r="N234" s="17"/>
      <c r="O234" s="18"/>
      <c r="P234" s="19"/>
      <c r="Q234" s="35"/>
      <c r="R234" s="74"/>
      <c r="S234" s="75"/>
      <c r="T234" s="8"/>
      <c r="U234" s="9"/>
      <c r="V234" s="3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12"/>
      <c r="AK234" s="2"/>
      <c r="AL234" s="2"/>
      <c r="AM234" s="2"/>
      <c r="AN234" s="4"/>
      <c r="AO234" s="2"/>
      <c r="AP234" s="33"/>
      <c r="AQ234" s="203"/>
      <c r="AR234" s="6"/>
      <c r="AS234" s="108"/>
      <c r="AT234" s="105" t="b">
        <f t="shared" si="32"/>
        <v>0</v>
      </c>
      <c r="AU234" s="109" t="str">
        <f t="shared" si="31"/>
        <v>A</v>
      </c>
      <c r="AV234" s="110"/>
      <c r="AW234" s="111"/>
    </row>
    <row r="235" spans="1:49" ht="29" thickBot="1" x14ac:dyDescent="0.4">
      <c r="A235" s="77"/>
      <c r="B235" s="2"/>
      <c r="C235" s="2"/>
      <c r="D235" s="2"/>
      <c r="E235" s="2"/>
      <c r="F235" s="7"/>
      <c r="G235" s="7"/>
      <c r="H235" s="27"/>
      <c r="I235" s="28"/>
      <c r="J235" s="29"/>
      <c r="K235" s="30"/>
      <c r="L235" s="31"/>
      <c r="M235" s="32"/>
      <c r="N235" s="17"/>
      <c r="O235" s="18"/>
      <c r="P235" s="19"/>
      <c r="Q235" s="35"/>
      <c r="R235" s="74"/>
      <c r="S235" s="75"/>
      <c r="T235" s="8"/>
      <c r="U235" s="9"/>
      <c r="V235" s="3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12"/>
      <c r="AK235" s="2"/>
      <c r="AL235" s="2"/>
      <c r="AM235" s="2"/>
      <c r="AN235" s="4"/>
      <c r="AO235" s="2"/>
      <c r="AP235" s="33"/>
      <c r="AQ235" s="203"/>
      <c r="AR235" s="6"/>
      <c r="AS235" s="108"/>
      <c r="AT235" s="105" t="b">
        <f t="shared" si="32"/>
        <v>0</v>
      </c>
      <c r="AU235" s="109" t="str">
        <f t="shared" si="31"/>
        <v>A</v>
      </c>
      <c r="AV235" s="110"/>
      <c r="AW235" s="111"/>
    </row>
    <row r="236" spans="1:49" ht="29" thickBot="1" x14ac:dyDescent="0.4">
      <c r="A236" s="77"/>
      <c r="B236" s="2"/>
      <c r="C236" s="2"/>
      <c r="D236" s="2"/>
      <c r="E236" s="2"/>
      <c r="F236" s="7"/>
      <c r="G236" s="7"/>
      <c r="H236" s="27"/>
      <c r="I236" s="28"/>
      <c r="J236" s="29"/>
      <c r="K236" s="30"/>
      <c r="L236" s="31"/>
      <c r="M236" s="32"/>
      <c r="N236" s="17"/>
      <c r="O236" s="18"/>
      <c r="P236" s="19"/>
      <c r="Q236" s="35"/>
      <c r="R236" s="74"/>
      <c r="S236" s="75"/>
      <c r="T236" s="8"/>
      <c r="U236" s="9"/>
      <c r="V236" s="3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12"/>
      <c r="AK236" s="2"/>
      <c r="AL236" s="2"/>
      <c r="AM236" s="2"/>
      <c r="AN236" s="4"/>
      <c r="AO236" s="2"/>
      <c r="AP236" s="33"/>
      <c r="AQ236" s="203"/>
      <c r="AR236" s="6"/>
      <c r="AS236" s="108"/>
      <c r="AT236" s="105" t="b">
        <f t="shared" si="32"/>
        <v>0</v>
      </c>
      <c r="AU236" s="109" t="str">
        <f t="shared" si="31"/>
        <v>A</v>
      </c>
      <c r="AV236" s="110"/>
      <c r="AW236" s="111"/>
    </row>
    <row r="237" spans="1:49" ht="29" thickBot="1" x14ac:dyDescent="0.4">
      <c r="A237" s="77"/>
      <c r="B237" s="2"/>
      <c r="C237" s="2"/>
      <c r="D237" s="2"/>
      <c r="E237" s="2"/>
      <c r="F237" s="7"/>
      <c r="G237" s="7"/>
      <c r="H237" s="27"/>
      <c r="I237" s="28"/>
      <c r="J237" s="29"/>
      <c r="K237" s="30"/>
      <c r="L237" s="31"/>
      <c r="M237" s="32"/>
      <c r="N237" s="17"/>
      <c r="O237" s="18"/>
      <c r="P237" s="19"/>
      <c r="Q237" s="35"/>
      <c r="R237" s="74"/>
      <c r="S237" s="75"/>
      <c r="T237" s="8"/>
      <c r="U237" s="9"/>
      <c r="V237" s="3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12"/>
      <c r="AK237" s="2"/>
      <c r="AL237" s="2"/>
      <c r="AM237" s="2"/>
      <c r="AN237" s="4"/>
      <c r="AO237" s="2"/>
      <c r="AP237" s="33"/>
      <c r="AQ237" s="203"/>
      <c r="AR237" s="6"/>
      <c r="AS237" s="108"/>
      <c r="AT237" s="105" t="b">
        <f t="shared" si="32"/>
        <v>0</v>
      </c>
      <c r="AU237" s="109" t="str">
        <f t="shared" si="31"/>
        <v>A</v>
      </c>
      <c r="AV237" s="110"/>
      <c r="AW237" s="111"/>
    </row>
    <row r="238" spans="1:49" ht="29" thickBot="1" x14ac:dyDescent="0.4">
      <c r="A238" s="77"/>
      <c r="B238" s="2"/>
      <c r="C238" s="2"/>
      <c r="D238" s="2"/>
      <c r="E238" s="2"/>
      <c r="F238" s="7"/>
      <c r="G238" s="7"/>
      <c r="H238" s="27"/>
      <c r="I238" s="28"/>
      <c r="J238" s="29"/>
      <c r="K238" s="30"/>
      <c r="L238" s="31"/>
      <c r="M238" s="32"/>
      <c r="N238" s="17"/>
      <c r="O238" s="18"/>
      <c r="P238" s="19"/>
      <c r="Q238" s="35"/>
      <c r="R238" s="74"/>
      <c r="S238" s="75"/>
      <c r="T238" s="8"/>
      <c r="U238" s="9"/>
      <c r="V238" s="3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12"/>
      <c r="AK238" s="2"/>
      <c r="AL238" s="2"/>
      <c r="AM238" s="2"/>
      <c r="AN238" s="4"/>
      <c r="AO238" s="2"/>
      <c r="AP238" s="33"/>
      <c r="AQ238" s="203"/>
      <c r="AR238" s="6"/>
      <c r="AS238" s="108"/>
      <c r="AT238" s="105" t="b">
        <f t="shared" si="32"/>
        <v>0</v>
      </c>
      <c r="AU238" s="109" t="str">
        <f t="shared" si="31"/>
        <v>A</v>
      </c>
      <c r="AV238" s="110"/>
      <c r="AW238" s="111"/>
    </row>
    <row r="239" spans="1:49" ht="29" thickBot="1" x14ac:dyDescent="0.4">
      <c r="A239" s="77"/>
      <c r="B239" s="2"/>
      <c r="C239" s="2"/>
      <c r="D239" s="2"/>
      <c r="E239" s="2"/>
      <c r="F239" s="7"/>
      <c r="G239" s="7"/>
      <c r="H239" s="27"/>
      <c r="I239" s="28"/>
      <c r="J239" s="29"/>
      <c r="K239" s="30"/>
      <c r="L239" s="31"/>
      <c r="M239" s="32"/>
      <c r="N239" s="17"/>
      <c r="O239" s="18"/>
      <c r="P239" s="19"/>
      <c r="Q239" s="35"/>
      <c r="R239" s="74"/>
      <c r="S239" s="75"/>
      <c r="T239" s="8"/>
      <c r="U239" s="9"/>
      <c r="V239" s="3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12"/>
      <c r="AK239" s="2"/>
      <c r="AL239" s="2"/>
      <c r="AM239" s="2"/>
      <c r="AN239" s="4"/>
      <c r="AO239" s="2"/>
      <c r="AP239" s="33"/>
      <c r="AQ239" s="203"/>
      <c r="AR239" s="6"/>
      <c r="AS239" s="108"/>
      <c r="AT239" s="105" t="b">
        <f t="shared" si="32"/>
        <v>0</v>
      </c>
      <c r="AU239" s="109" t="str">
        <f t="shared" si="31"/>
        <v>A</v>
      </c>
      <c r="AV239" s="110"/>
      <c r="AW239" s="111"/>
    </row>
    <row r="240" spans="1:49" ht="29" thickBot="1" x14ac:dyDescent="0.4">
      <c r="A240" s="77"/>
      <c r="B240" s="2"/>
      <c r="C240" s="2"/>
      <c r="D240" s="2"/>
      <c r="E240" s="2"/>
      <c r="F240" s="7"/>
      <c r="G240" s="7"/>
      <c r="H240" s="27"/>
      <c r="I240" s="28"/>
      <c r="J240" s="29"/>
      <c r="K240" s="30"/>
      <c r="L240" s="31"/>
      <c r="M240" s="32"/>
      <c r="N240" s="17"/>
      <c r="O240" s="18"/>
      <c r="P240" s="19"/>
      <c r="Q240" s="35"/>
      <c r="R240" s="74">
        <f t="shared" ref="R240:R265" si="33">H240+J240+L240+N240+P240</f>
        <v>0</v>
      </c>
      <c r="S240" s="75">
        <f t="shared" ref="S240:S265" si="34">I240+K240+O240+Q240+M240</f>
        <v>0</v>
      </c>
      <c r="T240" s="8" t="e">
        <f t="shared" ref="T240:T265" si="35">S240/R240</f>
        <v>#DIV/0!</v>
      </c>
      <c r="U240" s="9">
        <f t="shared" ref="U240:U265" si="36">R240+S240</f>
        <v>0</v>
      </c>
      <c r="V240" s="3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12"/>
      <c r="AK240" s="2"/>
      <c r="AL240" s="2"/>
      <c r="AM240" s="2"/>
      <c r="AN240" s="4"/>
      <c r="AO240" s="2"/>
      <c r="AP240" s="33"/>
      <c r="AQ240" s="203"/>
      <c r="AR240" s="6"/>
      <c r="AS240" s="108"/>
      <c r="AT240" s="105" t="b">
        <f t="shared" si="32"/>
        <v>0</v>
      </c>
      <c r="AU240" s="109" t="str">
        <f t="shared" si="31"/>
        <v>A</v>
      </c>
      <c r="AV240" s="110"/>
      <c r="AW240" s="111"/>
    </row>
    <row r="241" spans="1:49" ht="29" thickBot="1" x14ac:dyDescent="0.4">
      <c r="A241" s="77"/>
      <c r="B241" s="2"/>
      <c r="C241" s="2"/>
      <c r="D241" s="2"/>
      <c r="E241" s="2"/>
      <c r="F241" s="7"/>
      <c r="G241" s="7"/>
      <c r="H241" s="27"/>
      <c r="I241" s="28"/>
      <c r="J241" s="29"/>
      <c r="K241" s="30"/>
      <c r="L241" s="31"/>
      <c r="M241" s="32"/>
      <c r="N241" s="17"/>
      <c r="O241" s="18"/>
      <c r="P241" s="19"/>
      <c r="Q241" s="35"/>
      <c r="R241" s="74">
        <f t="shared" si="33"/>
        <v>0</v>
      </c>
      <c r="S241" s="75">
        <f t="shared" si="34"/>
        <v>0</v>
      </c>
      <c r="T241" s="8" t="e">
        <f t="shared" si="35"/>
        <v>#DIV/0!</v>
      </c>
      <c r="U241" s="9">
        <f t="shared" si="36"/>
        <v>0</v>
      </c>
      <c r="V241" s="3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12"/>
      <c r="AK241" s="2"/>
      <c r="AL241" s="2"/>
      <c r="AM241" s="2"/>
      <c r="AN241" s="4"/>
      <c r="AO241" s="2"/>
      <c r="AP241" s="33"/>
      <c r="AQ241" s="203"/>
      <c r="AR241" s="6"/>
      <c r="AS241" s="108"/>
      <c r="AT241" s="105" t="b">
        <f t="shared" si="32"/>
        <v>0</v>
      </c>
      <c r="AU241" s="109" t="str">
        <f t="shared" si="31"/>
        <v>A</v>
      </c>
      <c r="AV241" s="110"/>
      <c r="AW241" s="111"/>
    </row>
    <row r="242" spans="1:49" ht="29" thickBot="1" x14ac:dyDescent="0.4">
      <c r="A242" s="77"/>
      <c r="B242" s="2"/>
      <c r="C242" s="2"/>
      <c r="D242" s="2"/>
      <c r="E242" s="2"/>
      <c r="F242" s="7"/>
      <c r="G242" s="7"/>
      <c r="H242" s="27"/>
      <c r="I242" s="28"/>
      <c r="J242" s="29"/>
      <c r="K242" s="30"/>
      <c r="L242" s="31"/>
      <c r="M242" s="32"/>
      <c r="N242" s="17"/>
      <c r="O242" s="18"/>
      <c r="P242" s="19"/>
      <c r="Q242" s="35"/>
      <c r="R242" s="74">
        <f t="shared" si="33"/>
        <v>0</v>
      </c>
      <c r="S242" s="75">
        <f t="shared" si="34"/>
        <v>0</v>
      </c>
      <c r="T242" s="8" t="e">
        <f t="shared" si="35"/>
        <v>#DIV/0!</v>
      </c>
      <c r="U242" s="9">
        <f t="shared" si="36"/>
        <v>0</v>
      </c>
      <c r="V242" s="3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12"/>
      <c r="AK242" s="2"/>
      <c r="AL242" s="2"/>
      <c r="AM242" s="2"/>
      <c r="AN242" s="4"/>
      <c r="AO242" s="2"/>
      <c r="AP242" s="33"/>
      <c r="AQ242" s="203"/>
      <c r="AR242" s="6"/>
      <c r="AS242" s="108"/>
      <c r="AT242" s="105" t="b">
        <f t="shared" si="32"/>
        <v>0</v>
      </c>
      <c r="AU242" s="109" t="str">
        <f t="shared" si="31"/>
        <v>A</v>
      </c>
      <c r="AV242" s="110"/>
      <c r="AW242" s="111"/>
    </row>
    <row r="243" spans="1:49" ht="29" thickBot="1" x14ac:dyDescent="0.4">
      <c r="A243" s="77"/>
      <c r="B243" s="2"/>
      <c r="C243" s="2"/>
      <c r="D243" s="2"/>
      <c r="E243" s="2"/>
      <c r="F243" s="7"/>
      <c r="G243" s="7"/>
      <c r="H243" s="27"/>
      <c r="I243" s="28"/>
      <c r="J243" s="29"/>
      <c r="K243" s="30"/>
      <c r="L243" s="31"/>
      <c r="M243" s="32"/>
      <c r="N243" s="17"/>
      <c r="O243" s="18"/>
      <c r="P243" s="19"/>
      <c r="Q243" s="35"/>
      <c r="R243" s="74">
        <f t="shared" si="33"/>
        <v>0</v>
      </c>
      <c r="S243" s="75">
        <f t="shared" si="34"/>
        <v>0</v>
      </c>
      <c r="T243" s="8" t="e">
        <f t="shared" si="35"/>
        <v>#DIV/0!</v>
      </c>
      <c r="U243" s="9">
        <f t="shared" si="36"/>
        <v>0</v>
      </c>
      <c r="V243" s="3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12"/>
      <c r="AK243" s="2"/>
      <c r="AL243" s="2"/>
      <c r="AM243" s="2"/>
      <c r="AN243" s="4"/>
      <c r="AO243" s="2"/>
      <c r="AP243" s="33"/>
      <c r="AQ243" s="203"/>
      <c r="AR243" s="6"/>
      <c r="AS243" s="108"/>
      <c r="AT243" s="105" t="b">
        <f t="shared" si="32"/>
        <v>0</v>
      </c>
      <c r="AU243" s="109" t="str">
        <f t="shared" si="31"/>
        <v>A</v>
      </c>
      <c r="AV243" s="110"/>
      <c r="AW243" s="111"/>
    </row>
    <row r="244" spans="1:49" ht="29" thickBot="1" x14ac:dyDescent="0.4">
      <c r="A244" s="77"/>
      <c r="B244" s="2"/>
      <c r="C244" s="2"/>
      <c r="D244" s="2"/>
      <c r="E244" s="2"/>
      <c r="F244" s="7"/>
      <c r="G244" s="7"/>
      <c r="H244" s="27"/>
      <c r="I244" s="28"/>
      <c r="J244" s="29"/>
      <c r="K244" s="30"/>
      <c r="L244" s="31"/>
      <c r="M244" s="32"/>
      <c r="N244" s="17"/>
      <c r="O244" s="18"/>
      <c r="P244" s="19"/>
      <c r="Q244" s="35"/>
      <c r="R244" s="74">
        <f t="shared" si="33"/>
        <v>0</v>
      </c>
      <c r="S244" s="75">
        <f t="shared" si="34"/>
        <v>0</v>
      </c>
      <c r="T244" s="8" t="e">
        <f t="shared" si="35"/>
        <v>#DIV/0!</v>
      </c>
      <c r="U244" s="9">
        <f t="shared" si="36"/>
        <v>0</v>
      </c>
      <c r="V244" s="3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12"/>
      <c r="AK244" s="2"/>
      <c r="AL244" s="2"/>
      <c r="AM244" s="2"/>
      <c r="AN244" s="4"/>
      <c r="AO244" s="2"/>
      <c r="AP244" s="33"/>
      <c r="AQ244" s="203"/>
      <c r="AR244" s="6"/>
      <c r="AS244" s="108"/>
      <c r="AT244" s="105" t="b">
        <f t="shared" si="32"/>
        <v>0</v>
      </c>
      <c r="AU244" s="109" t="str">
        <f t="shared" si="31"/>
        <v>A</v>
      </c>
      <c r="AV244" s="110"/>
      <c r="AW244" s="111"/>
    </row>
    <row r="245" spans="1:49" ht="29" thickBot="1" x14ac:dyDescent="0.4">
      <c r="A245" s="77"/>
      <c r="B245" s="2"/>
      <c r="C245" s="2"/>
      <c r="D245" s="2"/>
      <c r="E245" s="2"/>
      <c r="F245" s="7"/>
      <c r="G245" s="7"/>
      <c r="H245" s="27"/>
      <c r="I245" s="28"/>
      <c r="J245" s="29"/>
      <c r="K245" s="30"/>
      <c r="L245" s="31"/>
      <c r="M245" s="32"/>
      <c r="N245" s="17"/>
      <c r="O245" s="18"/>
      <c r="P245" s="19"/>
      <c r="Q245" s="35"/>
      <c r="R245" s="74">
        <f t="shared" si="33"/>
        <v>0</v>
      </c>
      <c r="S245" s="75">
        <f t="shared" si="34"/>
        <v>0</v>
      </c>
      <c r="T245" s="8" t="e">
        <f t="shared" si="35"/>
        <v>#DIV/0!</v>
      </c>
      <c r="U245" s="9">
        <f t="shared" si="36"/>
        <v>0</v>
      </c>
      <c r="V245" s="3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12"/>
      <c r="AK245" s="2"/>
      <c r="AL245" s="2"/>
      <c r="AM245" s="2"/>
      <c r="AN245" s="4"/>
      <c r="AO245" s="2"/>
      <c r="AP245" s="33"/>
      <c r="AQ245" s="203"/>
      <c r="AR245" s="6"/>
      <c r="AS245" s="108"/>
      <c r="AT245" s="105" t="b">
        <f t="shared" si="32"/>
        <v>0</v>
      </c>
      <c r="AU245" s="109" t="str">
        <f t="shared" si="31"/>
        <v>A</v>
      </c>
      <c r="AV245" s="110"/>
      <c r="AW245" s="111"/>
    </row>
    <row r="246" spans="1:49" ht="29" thickBot="1" x14ac:dyDescent="0.4">
      <c r="A246" s="77"/>
      <c r="B246" s="2"/>
      <c r="C246" s="2"/>
      <c r="D246" s="2"/>
      <c r="E246" s="2"/>
      <c r="F246" s="7"/>
      <c r="G246" s="7"/>
      <c r="H246" s="27"/>
      <c r="I246" s="28"/>
      <c r="J246" s="29"/>
      <c r="K246" s="30"/>
      <c r="L246" s="31"/>
      <c r="M246" s="32"/>
      <c r="N246" s="17"/>
      <c r="O246" s="18"/>
      <c r="P246" s="19"/>
      <c r="Q246" s="35"/>
      <c r="R246" s="74">
        <f t="shared" si="33"/>
        <v>0</v>
      </c>
      <c r="S246" s="75">
        <f t="shared" si="34"/>
        <v>0</v>
      </c>
      <c r="T246" s="8" t="e">
        <f t="shared" si="35"/>
        <v>#DIV/0!</v>
      </c>
      <c r="U246" s="9">
        <f t="shared" si="36"/>
        <v>0</v>
      </c>
      <c r="V246" s="3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12"/>
      <c r="AK246" s="2"/>
      <c r="AL246" s="2"/>
      <c r="AM246" s="2"/>
      <c r="AN246" s="4"/>
      <c r="AO246" s="2"/>
      <c r="AP246" s="33"/>
      <c r="AQ246" s="203"/>
      <c r="AR246" s="6"/>
      <c r="AS246" s="108"/>
      <c r="AT246" s="105" t="b">
        <f t="shared" si="32"/>
        <v>0</v>
      </c>
      <c r="AU246" s="109" t="str">
        <f t="shared" si="31"/>
        <v>A</v>
      </c>
      <c r="AV246" s="110"/>
      <c r="AW246" s="111"/>
    </row>
    <row r="247" spans="1:49" ht="29" thickBot="1" x14ac:dyDescent="0.4">
      <c r="A247" s="77"/>
      <c r="B247" s="2"/>
      <c r="C247" s="2"/>
      <c r="D247" s="2"/>
      <c r="E247" s="2"/>
      <c r="F247" s="7"/>
      <c r="G247" s="7"/>
      <c r="H247" s="27"/>
      <c r="I247" s="28"/>
      <c r="J247" s="29"/>
      <c r="K247" s="30"/>
      <c r="L247" s="31"/>
      <c r="M247" s="32"/>
      <c r="N247" s="17"/>
      <c r="O247" s="18"/>
      <c r="P247" s="19"/>
      <c r="Q247" s="35"/>
      <c r="R247" s="74">
        <f t="shared" si="33"/>
        <v>0</v>
      </c>
      <c r="S247" s="75">
        <f t="shared" si="34"/>
        <v>0</v>
      </c>
      <c r="T247" s="8" t="e">
        <f t="shared" si="35"/>
        <v>#DIV/0!</v>
      </c>
      <c r="U247" s="9">
        <f t="shared" si="36"/>
        <v>0</v>
      </c>
      <c r="V247" s="3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12"/>
      <c r="AK247" s="2"/>
      <c r="AL247" s="2"/>
      <c r="AM247" s="2"/>
      <c r="AN247" s="4"/>
      <c r="AO247" s="2"/>
      <c r="AP247" s="33"/>
      <c r="AQ247" s="203"/>
      <c r="AR247" s="6"/>
      <c r="AS247" s="108"/>
      <c r="AT247" s="105" t="b">
        <f t="shared" si="32"/>
        <v>0</v>
      </c>
      <c r="AU247" s="109" t="str">
        <f t="shared" si="31"/>
        <v>A</v>
      </c>
      <c r="AV247" s="110"/>
      <c r="AW247" s="111"/>
    </row>
    <row r="248" spans="1:49" ht="29" thickBot="1" x14ac:dyDescent="0.4">
      <c r="A248" s="77"/>
      <c r="B248" s="2"/>
      <c r="C248" s="2"/>
      <c r="D248" s="2"/>
      <c r="E248" s="2"/>
      <c r="F248" s="7"/>
      <c r="G248" s="7"/>
      <c r="H248" s="27"/>
      <c r="I248" s="28"/>
      <c r="J248" s="29"/>
      <c r="K248" s="30"/>
      <c r="L248" s="31"/>
      <c r="M248" s="32"/>
      <c r="N248" s="17"/>
      <c r="O248" s="18"/>
      <c r="P248" s="19"/>
      <c r="Q248" s="35"/>
      <c r="R248" s="74">
        <f t="shared" si="33"/>
        <v>0</v>
      </c>
      <c r="S248" s="75">
        <f t="shared" si="34"/>
        <v>0</v>
      </c>
      <c r="T248" s="8" t="e">
        <f t="shared" si="35"/>
        <v>#DIV/0!</v>
      </c>
      <c r="U248" s="9">
        <f t="shared" si="36"/>
        <v>0</v>
      </c>
      <c r="V248" s="3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12"/>
      <c r="AK248" s="2"/>
      <c r="AL248" s="2"/>
      <c r="AM248" s="2"/>
      <c r="AN248" s="4"/>
      <c r="AO248" s="2"/>
      <c r="AP248" s="33"/>
      <c r="AQ248" s="203"/>
      <c r="AR248" s="6"/>
      <c r="AS248" s="108"/>
      <c r="AT248" s="105" t="b">
        <f t="shared" si="32"/>
        <v>0</v>
      </c>
      <c r="AU248" s="109" t="str">
        <f t="shared" si="31"/>
        <v>A</v>
      </c>
      <c r="AV248" s="110"/>
      <c r="AW248" s="111"/>
    </row>
    <row r="249" spans="1:49" ht="29" thickBot="1" x14ac:dyDescent="0.4">
      <c r="A249" s="77"/>
      <c r="B249" s="2"/>
      <c r="C249" s="2"/>
      <c r="D249" s="2"/>
      <c r="E249" s="2"/>
      <c r="F249" s="7"/>
      <c r="G249" s="7"/>
      <c r="H249" s="27"/>
      <c r="I249" s="28"/>
      <c r="J249" s="29"/>
      <c r="K249" s="30"/>
      <c r="L249" s="31"/>
      <c r="M249" s="32"/>
      <c r="N249" s="17"/>
      <c r="O249" s="18"/>
      <c r="P249" s="19"/>
      <c r="Q249" s="35"/>
      <c r="R249" s="74">
        <f t="shared" si="33"/>
        <v>0</v>
      </c>
      <c r="S249" s="75">
        <f t="shared" si="34"/>
        <v>0</v>
      </c>
      <c r="T249" s="8" t="e">
        <f t="shared" si="35"/>
        <v>#DIV/0!</v>
      </c>
      <c r="U249" s="9">
        <f t="shared" si="36"/>
        <v>0</v>
      </c>
      <c r="V249" s="3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12"/>
      <c r="AK249" s="2"/>
      <c r="AL249" s="2"/>
      <c r="AM249" s="2"/>
      <c r="AN249" s="4"/>
      <c r="AO249" s="2"/>
      <c r="AP249" s="33"/>
      <c r="AQ249" s="203"/>
      <c r="AR249" s="6"/>
      <c r="AS249" s="108"/>
      <c r="AT249" s="105" t="b">
        <f t="shared" si="32"/>
        <v>0</v>
      </c>
      <c r="AU249" s="109" t="str">
        <f t="shared" si="31"/>
        <v>A</v>
      </c>
      <c r="AV249" s="110"/>
      <c r="AW249" s="111"/>
    </row>
    <row r="250" spans="1:49" ht="29" thickBot="1" x14ac:dyDescent="0.4">
      <c r="A250" s="77"/>
      <c r="B250" s="2"/>
      <c r="C250" s="2"/>
      <c r="D250" s="2"/>
      <c r="E250" s="2"/>
      <c r="F250" s="7"/>
      <c r="G250" s="7"/>
      <c r="H250" s="27"/>
      <c r="I250" s="28"/>
      <c r="J250" s="29"/>
      <c r="K250" s="30"/>
      <c r="L250" s="31"/>
      <c r="M250" s="32"/>
      <c r="N250" s="17"/>
      <c r="O250" s="18"/>
      <c r="P250" s="19"/>
      <c r="Q250" s="35"/>
      <c r="R250" s="74">
        <f t="shared" si="33"/>
        <v>0</v>
      </c>
      <c r="S250" s="75">
        <f t="shared" si="34"/>
        <v>0</v>
      </c>
      <c r="T250" s="8" t="e">
        <f t="shared" si="35"/>
        <v>#DIV/0!</v>
      </c>
      <c r="U250" s="9">
        <f t="shared" si="36"/>
        <v>0</v>
      </c>
      <c r="V250" s="3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12"/>
      <c r="AK250" s="2"/>
      <c r="AL250" s="2"/>
      <c r="AM250" s="2"/>
      <c r="AN250" s="4"/>
      <c r="AO250" s="2"/>
      <c r="AP250" s="33"/>
      <c r="AQ250" s="203"/>
      <c r="AR250" s="6"/>
      <c r="AS250" s="108"/>
      <c r="AT250" s="105" t="b">
        <f t="shared" si="32"/>
        <v>0</v>
      </c>
      <c r="AU250" s="109" t="str">
        <f t="shared" si="31"/>
        <v>A</v>
      </c>
      <c r="AV250" s="110"/>
      <c r="AW250" s="111"/>
    </row>
    <row r="251" spans="1:49" ht="29" thickBot="1" x14ac:dyDescent="0.4">
      <c r="A251" s="77"/>
      <c r="B251" s="2"/>
      <c r="C251" s="2"/>
      <c r="D251" s="2"/>
      <c r="E251" s="2"/>
      <c r="F251" s="7"/>
      <c r="G251" s="7"/>
      <c r="H251" s="27"/>
      <c r="I251" s="28"/>
      <c r="J251" s="29"/>
      <c r="K251" s="30"/>
      <c r="L251" s="31"/>
      <c r="M251" s="32"/>
      <c r="N251" s="17"/>
      <c r="O251" s="18"/>
      <c r="P251" s="19"/>
      <c r="Q251" s="35"/>
      <c r="R251" s="74">
        <f t="shared" si="33"/>
        <v>0</v>
      </c>
      <c r="S251" s="75">
        <f t="shared" si="34"/>
        <v>0</v>
      </c>
      <c r="T251" s="8" t="e">
        <f t="shared" si="35"/>
        <v>#DIV/0!</v>
      </c>
      <c r="U251" s="9">
        <f t="shared" si="36"/>
        <v>0</v>
      </c>
      <c r="V251" s="3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12"/>
      <c r="AK251" s="2"/>
      <c r="AL251" s="2"/>
      <c r="AM251" s="2"/>
      <c r="AN251" s="4"/>
      <c r="AO251" s="2"/>
      <c r="AP251" s="33"/>
      <c r="AQ251" s="203"/>
      <c r="AR251" s="6"/>
      <c r="AS251" s="108"/>
      <c r="AT251" s="105" t="b">
        <f t="shared" si="32"/>
        <v>0</v>
      </c>
      <c r="AU251" s="109" t="str">
        <f t="shared" si="31"/>
        <v>A</v>
      </c>
      <c r="AV251" s="110"/>
      <c r="AW251" s="111"/>
    </row>
    <row r="252" spans="1:49" ht="29" thickBot="1" x14ac:dyDescent="0.4">
      <c r="A252" s="77"/>
      <c r="B252" s="2"/>
      <c r="C252" s="2"/>
      <c r="D252" s="2"/>
      <c r="E252" s="2"/>
      <c r="F252" s="7"/>
      <c r="G252" s="7"/>
      <c r="H252" s="27"/>
      <c r="I252" s="28"/>
      <c r="J252" s="29"/>
      <c r="K252" s="30"/>
      <c r="L252" s="31"/>
      <c r="M252" s="32"/>
      <c r="N252" s="17"/>
      <c r="O252" s="18"/>
      <c r="P252" s="19"/>
      <c r="Q252" s="35"/>
      <c r="R252" s="74">
        <f t="shared" si="33"/>
        <v>0</v>
      </c>
      <c r="S252" s="75">
        <f t="shared" si="34"/>
        <v>0</v>
      </c>
      <c r="T252" s="8" t="e">
        <f t="shared" si="35"/>
        <v>#DIV/0!</v>
      </c>
      <c r="U252" s="9">
        <f t="shared" si="36"/>
        <v>0</v>
      </c>
      <c r="V252" s="3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12"/>
      <c r="AK252" s="2"/>
      <c r="AL252" s="2"/>
      <c r="AM252" s="2"/>
      <c r="AN252" s="4"/>
      <c r="AO252" s="2"/>
      <c r="AP252" s="33"/>
      <c r="AQ252" s="203"/>
      <c r="AR252" s="6"/>
      <c r="AS252" s="108"/>
      <c r="AT252" s="105" t="b">
        <f t="shared" si="32"/>
        <v>0</v>
      </c>
      <c r="AU252" s="109" t="str">
        <f t="shared" si="31"/>
        <v>A</v>
      </c>
      <c r="AV252" s="110"/>
      <c r="AW252" s="111"/>
    </row>
    <row r="253" spans="1:49" ht="29" thickBot="1" x14ac:dyDescent="0.4">
      <c r="A253" s="77"/>
      <c r="B253" s="2"/>
      <c r="C253" s="2"/>
      <c r="D253" s="2"/>
      <c r="E253" s="2"/>
      <c r="F253" s="7"/>
      <c r="G253" s="7"/>
      <c r="H253" s="27"/>
      <c r="I253" s="28"/>
      <c r="J253" s="29"/>
      <c r="K253" s="30"/>
      <c r="L253" s="31"/>
      <c r="M253" s="32"/>
      <c r="N253" s="17"/>
      <c r="O253" s="18"/>
      <c r="P253" s="19"/>
      <c r="Q253" s="35"/>
      <c r="R253" s="74">
        <f t="shared" si="33"/>
        <v>0</v>
      </c>
      <c r="S253" s="75">
        <f t="shared" si="34"/>
        <v>0</v>
      </c>
      <c r="T253" s="8" t="e">
        <f t="shared" si="35"/>
        <v>#DIV/0!</v>
      </c>
      <c r="U253" s="9">
        <f t="shared" si="36"/>
        <v>0</v>
      </c>
      <c r="V253" s="3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12"/>
      <c r="AK253" s="2"/>
      <c r="AL253" s="2"/>
      <c r="AM253" s="2"/>
      <c r="AN253" s="4"/>
      <c r="AO253" s="2"/>
      <c r="AP253" s="33"/>
      <c r="AQ253" s="203"/>
      <c r="AR253" s="6"/>
      <c r="AS253" s="108"/>
      <c r="AT253" s="105" t="b">
        <f t="shared" si="32"/>
        <v>0</v>
      </c>
      <c r="AU253" s="109" t="str">
        <f t="shared" si="31"/>
        <v>A</v>
      </c>
      <c r="AV253" s="110"/>
      <c r="AW253" s="111"/>
    </row>
    <row r="254" spans="1:49" ht="29" thickBot="1" x14ac:dyDescent="0.4">
      <c r="A254" s="77"/>
      <c r="B254" s="2"/>
      <c r="C254" s="2"/>
      <c r="D254" s="2"/>
      <c r="E254" s="2"/>
      <c r="F254" s="7"/>
      <c r="G254" s="7"/>
      <c r="H254" s="27"/>
      <c r="I254" s="28"/>
      <c r="J254" s="29"/>
      <c r="K254" s="30"/>
      <c r="L254" s="31"/>
      <c r="M254" s="32"/>
      <c r="N254" s="17"/>
      <c r="O254" s="18"/>
      <c r="P254" s="19"/>
      <c r="Q254" s="35"/>
      <c r="R254" s="74">
        <f t="shared" si="33"/>
        <v>0</v>
      </c>
      <c r="S254" s="75">
        <f t="shared" si="34"/>
        <v>0</v>
      </c>
      <c r="T254" s="8" t="e">
        <f t="shared" si="35"/>
        <v>#DIV/0!</v>
      </c>
      <c r="U254" s="9">
        <f t="shared" si="36"/>
        <v>0</v>
      </c>
      <c r="V254" s="3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12"/>
      <c r="AK254" s="2"/>
      <c r="AL254" s="2"/>
      <c r="AM254" s="2"/>
      <c r="AN254" s="4"/>
      <c r="AO254" s="2"/>
      <c r="AP254" s="33"/>
      <c r="AQ254" s="203"/>
      <c r="AR254" s="6"/>
      <c r="AS254" s="108"/>
      <c r="AT254" s="105" t="b">
        <f t="shared" si="32"/>
        <v>0</v>
      </c>
      <c r="AU254" s="109" t="str">
        <f t="shared" si="31"/>
        <v>A</v>
      </c>
      <c r="AV254" s="110"/>
      <c r="AW254" s="111"/>
    </row>
    <row r="255" spans="1:49" ht="29" thickBot="1" x14ac:dyDescent="0.4">
      <c r="A255" s="77"/>
      <c r="B255" s="2"/>
      <c r="C255" s="2"/>
      <c r="D255" s="2"/>
      <c r="E255" s="2"/>
      <c r="F255" s="7"/>
      <c r="G255" s="7"/>
      <c r="H255" s="27"/>
      <c r="I255" s="28"/>
      <c r="J255" s="29"/>
      <c r="K255" s="30"/>
      <c r="L255" s="31"/>
      <c r="M255" s="32"/>
      <c r="N255" s="17"/>
      <c r="O255" s="18"/>
      <c r="P255" s="19"/>
      <c r="Q255" s="35"/>
      <c r="R255" s="74">
        <f t="shared" si="33"/>
        <v>0</v>
      </c>
      <c r="S255" s="75">
        <f t="shared" si="34"/>
        <v>0</v>
      </c>
      <c r="T255" s="8" t="e">
        <f t="shared" si="35"/>
        <v>#DIV/0!</v>
      </c>
      <c r="U255" s="9">
        <f t="shared" si="36"/>
        <v>0</v>
      </c>
      <c r="V255" s="3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12"/>
      <c r="AK255" s="2"/>
      <c r="AL255" s="2"/>
      <c r="AM255" s="2"/>
      <c r="AN255" s="4"/>
      <c r="AO255" s="2"/>
      <c r="AP255" s="33"/>
      <c r="AQ255" s="203"/>
      <c r="AR255" s="6"/>
      <c r="AS255" s="108"/>
      <c r="AT255" s="105" t="b">
        <f t="shared" si="32"/>
        <v>0</v>
      </c>
      <c r="AU255" s="109" t="str">
        <f t="shared" si="31"/>
        <v>A</v>
      </c>
      <c r="AV255" s="110"/>
      <c r="AW255" s="111"/>
    </row>
    <row r="256" spans="1:49" ht="29" thickBot="1" x14ac:dyDescent="0.4">
      <c r="A256" s="77"/>
      <c r="B256" s="2"/>
      <c r="C256" s="2"/>
      <c r="D256" s="2"/>
      <c r="E256" s="2"/>
      <c r="F256" s="7"/>
      <c r="G256" s="7"/>
      <c r="H256" s="27"/>
      <c r="I256" s="28"/>
      <c r="J256" s="29"/>
      <c r="K256" s="30"/>
      <c r="L256" s="31"/>
      <c r="M256" s="32"/>
      <c r="N256" s="17"/>
      <c r="O256" s="18"/>
      <c r="P256" s="19"/>
      <c r="Q256" s="35"/>
      <c r="R256" s="74">
        <f t="shared" si="33"/>
        <v>0</v>
      </c>
      <c r="S256" s="75">
        <f t="shared" si="34"/>
        <v>0</v>
      </c>
      <c r="T256" s="8" t="e">
        <f t="shared" si="35"/>
        <v>#DIV/0!</v>
      </c>
      <c r="U256" s="9">
        <f t="shared" si="36"/>
        <v>0</v>
      </c>
      <c r="V256" s="3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12"/>
      <c r="AK256" s="2"/>
      <c r="AL256" s="2"/>
      <c r="AM256" s="2"/>
      <c r="AN256" s="4"/>
      <c r="AO256" s="2"/>
      <c r="AP256" s="33"/>
      <c r="AQ256" s="203"/>
      <c r="AR256" s="6"/>
      <c r="AS256" s="108"/>
      <c r="AT256" s="105" t="b">
        <f t="shared" si="32"/>
        <v>0</v>
      </c>
      <c r="AU256" s="109" t="str">
        <f t="shared" si="31"/>
        <v>A</v>
      </c>
      <c r="AV256" s="110"/>
      <c r="AW256" s="111"/>
    </row>
    <row r="257" spans="1:49" ht="29" thickBot="1" x14ac:dyDescent="0.4">
      <c r="A257" s="77"/>
      <c r="B257" s="2"/>
      <c r="C257" s="2"/>
      <c r="D257" s="2"/>
      <c r="E257" s="2"/>
      <c r="F257" s="7"/>
      <c r="G257" s="7"/>
      <c r="H257" s="27"/>
      <c r="I257" s="28"/>
      <c r="J257" s="29"/>
      <c r="K257" s="30"/>
      <c r="L257" s="31"/>
      <c r="M257" s="32"/>
      <c r="N257" s="17"/>
      <c r="O257" s="18"/>
      <c r="P257" s="19"/>
      <c r="Q257" s="35"/>
      <c r="R257" s="74">
        <f t="shared" si="33"/>
        <v>0</v>
      </c>
      <c r="S257" s="75">
        <f t="shared" si="34"/>
        <v>0</v>
      </c>
      <c r="T257" s="8" t="e">
        <f t="shared" si="35"/>
        <v>#DIV/0!</v>
      </c>
      <c r="U257" s="9">
        <f t="shared" si="36"/>
        <v>0</v>
      </c>
      <c r="V257" s="3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12"/>
      <c r="AK257" s="2"/>
      <c r="AL257" s="2"/>
      <c r="AM257" s="2"/>
      <c r="AN257" s="4"/>
      <c r="AO257" s="2"/>
      <c r="AP257" s="33"/>
      <c r="AQ257" s="203"/>
      <c r="AR257" s="6"/>
      <c r="AS257" s="108"/>
      <c r="AT257" s="105" t="b">
        <f t="shared" si="32"/>
        <v>0</v>
      </c>
      <c r="AU257" s="109" t="str">
        <f t="shared" si="31"/>
        <v>A</v>
      </c>
      <c r="AV257" s="110"/>
      <c r="AW257" s="111"/>
    </row>
    <row r="258" spans="1:49" ht="29" thickBot="1" x14ac:dyDescent="0.4">
      <c r="A258" s="77"/>
      <c r="B258" s="2"/>
      <c r="C258" s="2"/>
      <c r="D258" s="2"/>
      <c r="E258" s="2"/>
      <c r="F258" s="7"/>
      <c r="G258" s="7"/>
      <c r="H258" s="27"/>
      <c r="I258" s="28"/>
      <c r="J258" s="29"/>
      <c r="K258" s="30"/>
      <c r="L258" s="31"/>
      <c r="M258" s="32"/>
      <c r="N258" s="17"/>
      <c r="O258" s="18"/>
      <c r="P258" s="19"/>
      <c r="Q258" s="35"/>
      <c r="R258" s="74">
        <f t="shared" si="33"/>
        <v>0</v>
      </c>
      <c r="S258" s="75">
        <f t="shared" si="34"/>
        <v>0</v>
      </c>
      <c r="T258" s="8" t="e">
        <f t="shared" si="35"/>
        <v>#DIV/0!</v>
      </c>
      <c r="U258" s="9">
        <f t="shared" si="36"/>
        <v>0</v>
      </c>
      <c r="V258" s="3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12"/>
      <c r="AK258" s="2"/>
      <c r="AL258" s="2"/>
      <c r="AM258" s="2"/>
      <c r="AN258" s="4"/>
      <c r="AO258" s="2"/>
      <c r="AP258" s="33"/>
      <c r="AQ258" s="203"/>
      <c r="AR258" s="6"/>
      <c r="AS258" s="108"/>
      <c r="AT258" s="105" t="b">
        <f t="shared" si="32"/>
        <v>0</v>
      </c>
      <c r="AU258" s="109" t="str">
        <f t="shared" ref="AU258:AU265" si="37">IF(R258&lt;=20,"A",IF(AND(R258&gt;=21,R258&lt;=50),"B",IF(AND(R258&gt;=51,R258&lt;=80),"C",IF(R258&gt;80,"D"))))</f>
        <v>A</v>
      </c>
      <c r="AV258" s="110"/>
      <c r="AW258" s="111"/>
    </row>
    <row r="259" spans="1:49" ht="29" thickBot="1" x14ac:dyDescent="0.4">
      <c r="A259" s="77"/>
      <c r="B259" s="2"/>
      <c r="C259" s="2"/>
      <c r="D259" s="2"/>
      <c r="E259" s="2"/>
      <c r="F259" s="7"/>
      <c r="G259" s="7"/>
      <c r="H259" s="27"/>
      <c r="I259" s="28"/>
      <c r="J259" s="29"/>
      <c r="K259" s="30"/>
      <c r="L259" s="31"/>
      <c r="M259" s="32"/>
      <c r="N259" s="17"/>
      <c r="O259" s="18"/>
      <c r="P259" s="19"/>
      <c r="Q259" s="35"/>
      <c r="R259" s="74">
        <f t="shared" si="33"/>
        <v>0</v>
      </c>
      <c r="S259" s="75">
        <f t="shared" si="34"/>
        <v>0</v>
      </c>
      <c r="T259" s="8" t="e">
        <f t="shared" si="35"/>
        <v>#DIV/0!</v>
      </c>
      <c r="U259" s="9">
        <f t="shared" si="36"/>
        <v>0</v>
      </c>
      <c r="V259" s="3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12"/>
      <c r="AK259" s="2"/>
      <c r="AL259" s="2"/>
      <c r="AM259" s="2"/>
      <c r="AN259" s="4"/>
      <c r="AO259" s="2"/>
      <c r="AP259" s="33"/>
      <c r="AQ259" s="203"/>
      <c r="AR259" s="6"/>
      <c r="AS259" s="108"/>
      <c r="AT259" s="105" t="b">
        <f t="shared" ref="AT259:AT265" si="38">IF(D259="Camp d'unité Ainés","CUA",IF(D259="camp d'unité éclés","CUE",IF(D259="Camp d'unité louveteaux","CULO",IF(D259="Camp d'unité lutins","CULI",IF(D259="Camp de groupe","CG",IF(D259="Camp régional","CR",IF(D259="Camp de regroupement","CGG",IF(D259="Camp de regroupement d'unité Ainés","CRGUA",IF(D259="Camp de regroupement d'unité éclés","CRGUE",IF(D259="Camp de regroupement d'unité louveteaux","CRGULO",IF(D259="Camp de regroupement d'unité lutins","CRGULI",IF(D259="Camp inter groupe","CIG",IF(D259="Séjours adaptés mineurs","SAM",IF(D259="Séjours adaptés adultes","SAA",IF(D259="Séjours ouverts","SOU",IF(D259="Camp régional ouvert","RO"))))))))))))))))</f>
        <v>0</v>
      </c>
      <c r="AU259" s="109" t="str">
        <f t="shared" si="37"/>
        <v>A</v>
      </c>
      <c r="AV259" s="110"/>
      <c r="AW259" s="111"/>
    </row>
    <row r="260" spans="1:49" ht="29" thickBot="1" x14ac:dyDescent="0.4">
      <c r="A260" s="77"/>
      <c r="B260" s="2"/>
      <c r="C260" s="2"/>
      <c r="D260" s="2"/>
      <c r="E260" s="2"/>
      <c r="F260" s="7"/>
      <c r="G260" s="7"/>
      <c r="H260" s="27"/>
      <c r="I260" s="28"/>
      <c r="J260" s="29"/>
      <c r="K260" s="30"/>
      <c r="L260" s="31"/>
      <c r="M260" s="32"/>
      <c r="N260" s="17"/>
      <c r="O260" s="18"/>
      <c r="P260" s="19"/>
      <c r="Q260" s="35"/>
      <c r="R260" s="74">
        <f t="shared" si="33"/>
        <v>0</v>
      </c>
      <c r="S260" s="75">
        <f t="shared" si="34"/>
        <v>0</v>
      </c>
      <c r="T260" s="8" t="e">
        <f t="shared" si="35"/>
        <v>#DIV/0!</v>
      </c>
      <c r="U260" s="9">
        <f t="shared" si="36"/>
        <v>0</v>
      </c>
      <c r="V260" s="3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12"/>
      <c r="AK260" s="2"/>
      <c r="AL260" s="2"/>
      <c r="AM260" s="2"/>
      <c r="AN260" s="4"/>
      <c r="AO260" s="2"/>
      <c r="AP260" s="33"/>
      <c r="AQ260" s="203"/>
      <c r="AR260" s="6"/>
      <c r="AS260" s="108"/>
      <c r="AT260" s="105" t="b">
        <f t="shared" si="38"/>
        <v>0</v>
      </c>
      <c r="AU260" s="109" t="str">
        <f t="shared" si="37"/>
        <v>A</v>
      </c>
      <c r="AV260" s="110"/>
      <c r="AW260" s="111"/>
    </row>
    <row r="261" spans="1:49" ht="29" thickBot="1" x14ac:dyDescent="0.4">
      <c r="A261" s="77"/>
      <c r="B261" s="2"/>
      <c r="C261" s="2"/>
      <c r="D261" s="2"/>
      <c r="E261" s="2"/>
      <c r="F261" s="7"/>
      <c r="G261" s="7"/>
      <c r="H261" s="27"/>
      <c r="I261" s="28"/>
      <c r="J261" s="29"/>
      <c r="K261" s="30"/>
      <c r="L261" s="31"/>
      <c r="M261" s="32"/>
      <c r="N261" s="17"/>
      <c r="O261" s="18"/>
      <c r="P261" s="19"/>
      <c r="Q261" s="35"/>
      <c r="R261" s="74">
        <f t="shared" si="33"/>
        <v>0</v>
      </c>
      <c r="S261" s="75">
        <f t="shared" si="34"/>
        <v>0</v>
      </c>
      <c r="T261" s="8" t="e">
        <f t="shared" si="35"/>
        <v>#DIV/0!</v>
      </c>
      <c r="U261" s="9">
        <f t="shared" si="36"/>
        <v>0</v>
      </c>
      <c r="V261" s="3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12"/>
      <c r="AK261" s="2"/>
      <c r="AL261" s="2"/>
      <c r="AM261" s="2"/>
      <c r="AN261" s="4"/>
      <c r="AO261" s="2"/>
      <c r="AP261" s="33"/>
      <c r="AQ261" s="203"/>
      <c r="AR261" s="6"/>
      <c r="AS261" s="108"/>
      <c r="AT261" s="105" t="b">
        <f t="shared" si="38"/>
        <v>0</v>
      </c>
      <c r="AU261" s="109" t="str">
        <f t="shared" si="37"/>
        <v>A</v>
      </c>
      <c r="AV261" s="110"/>
      <c r="AW261" s="111"/>
    </row>
    <row r="262" spans="1:49" ht="29" thickBot="1" x14ac:dyDescent="0.4">
      <c r="A262" s="77"/>
      <c r="B262" s="2"/>
      <c r="C262" s="2"/>
      <c r="D262" s="2"/>
      <c r="E262" s="2"/>
      <c r="F262" s="7"/>
      <c r="G262" s="7"/>
      <c r="H262" s="27"/>
      <c r="I262" s="28"/>
      <c r="J262" s="29"/>
      <c r="K262" s="30"/>
      <c r="L262" s="31"/>
      <c r="M262" s="32"/>
      <c r="N262" s="17"/>
      <c r="O262" s="18"/>
      <c r="P262" s="19"/>
      <c r="Q262" s="35"/>
      <c r="R262" s="74">
        <f t="shared" si="33"/>
        <v>0</v>
      </c>
      <c r="S262" s="75">
        <f t="shared" si="34"/>
        <v>0</v>
      </c>
      <c r="T262" s="8" t="e">
        <f t="shared" si="35"/>
        <v>#DIV/0!</v>
      </c>
      <c r="U262" s="9">
        <f t="shared" si="36"/>
        <v>0</v>
      </c>
      <c r="V262" s="3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12"/>
      <c r="AK262" s="2"/>
      <c r="AL262" s="2"/>
      <c r="AM262" s="2"/>
      <c r="AN262" s="4"/>
      <c r="AO262" s="2"/>
      <c r="AP262" s="33"/>
      <c r="AQ262" s="203"/>
      <c r="AR262" s="6"/>
      <c r="AS262" s="108"/>
      <c r="AT262" s="105" t="b">
        <f t="shared" si="38"/>
        <v>0</v>
      </c>
      <c r="AU262" s="109" t="str">
        <f t="shared" si="37"/>
        <v>A</v>
      </c>
      <c r="AV262" s="110"/>
      <c r="AW262" s="111"/>
    </row>
    <row r="263" spans="1:49" ht="29" thickBot="1" x14ac:dyDescent="0.4">
      <c r="A263" s="77"/>
      <c r="B263" s="2"/>
      <c r="C263" s="2"/>
      <c r="D263" s="2"/>
      <c r="E263" s="2"/>
      <c r="F263" s="7"/>
      <c r="G263" s="7"/>
      <c r="H263" s="27"/>
      <c r="I263" s="28"/>
      <c r="J263" s="29"/>
      <c r="K263" s="30"/>
      <c r="L263" s="31"/>
      <c r="M263" s="32"/>
      <c r="N263" s="17"/>
      <c r="O263" s="18"/>
      <c r="P263" s="19"/>
      <c r="Q263" s="35"/>
      <c r="R263" s="74">
        <f t="shared" si="33"/>
        <v>0</v>
      </c>
      <c r="S263" s="75">
        <f t="shared" si="34"/>
        <v>0</v>
      </c>
      <c r="T263" s="8" t="e">
        <f t="shared" si="35"/>
        <v>#DIV/0!</v>
      </c>
      <c r="U263" s="9">
        <f t="shared" si="36"/>
        <v>0</v>
      </c>
      <c r="V263" s="3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12"/>
      <c r="AK263" s="2"/>
      <c r="AL263" s="2"/>
      <c r="AM263" s="2"/>
      <c r="AN263" s="4"/>
      <c r="AO263" s="2"/>
      <c r="AP263" s="33"/>
      <c r="AQ263" s="203"/>
      <c r="AR263" s="6"/>
      <c r="AS263" s="108"/>
      <c r="AT263" s="105" t="b">
        <f t="shared" si="38"/>
        <v>0</v>
      </c>
      <c r="AU263" s="109" t="str">
        <f t="shared" si="37"/>
        <v>A</v>
      </c>
      <c r="AV263" s="110"/>
      <c r="AW263" s="111"/>
    </row>
    <row r="264" spans="1:49" ht="29" thickBot="1" x14ac:dyDescent="0.4">
      <c r="A264" s="77"/>
      <c r="B264" s="2"/>
      <c r="C264" s="2"/>
      <c r="D264" s="2"/>
      <c r="E264" s="2"/>
      <c r="F264" s="7"/>
      <c r="G264" s="7"/>
      <c r="H264" s="27"/>
      <c r="I264" s="28"/>
      <c r="J264" s="29"/>
      <c r="K264" s="30"/>
      <c r="L264" s="31"/>
      <c r="M264" s="32"/>
      <c r="N264" s="17"/>
      <c r="O264" s="18"/>
      <c r="P264" s="19"/>
      <c r="Q264" s="35"/>
      <c r="R264" s="74">
        <f t="shared" si="33"/>
        <v>0</v>
      </c>
      <c r="S264" s="75">
        <f t="shared" si="34"/>
        <v>0</v>
      </c>
      <c r="T264" s="8" t="e">
        <f t="shared" si="35"/>
        <v>#DIV/0!</v>
      </c>
      <c r="U264" s="9">
        <f t="shared" si="36"/>
        <v>0</v>
      </c>
      <c r="V264" s="3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12"/>
      <c r="AK264" s="2"/>
      <c r="AL264" s="2"/>
      <c r="AM264" s="2"/>
      <c r="AN264" s="4"/>
      <c r="AO264" s="2"/>
      <c r="AP264" s="33"/>
      <c r="AQ264" s="203"/>
      <c r="AR264" s="6"/>
      <c r="AS264" s="108"/>
      <c r="AT264" s="105" t="b">
        <f t="shared" si="38"/>
        <v>0</v>
      </c>
      <c r="AU264" s="109" t="str">
        <f t="shared" si="37"/>
        <v>A</v>
      </c>
      <c r="AV264" s="110"/>
      <c r="AW264" s="111"/>
    </row>
    <row r="265" spans="1:49" ht="29" thickBot="1" x14ac:dyDescent="0.4">
      <c r="A265" s="77"/>
      <c r="B265" s="2"/>
      <c r="C265" s="2"/>
      <c r="D265" s="91"/>
      <c r="E265" s="91"/>
      <c r="F265" s="92"/>
      <c r="G265" s="92"/>
      <c r="H265" s="27"/>
      <c r="I265" s="28"/>
      <c r="J265" s="29"/>
      <c r="K265" s="30"/>
      <c r="L265" s="31"/>
      <c r="M265" s="32"/>
      <c r="N265" s="17"/>
      <c r="O265" s="18"/>
      <c r="P265" s="19"/>
      <c r="Q265" s="35"/>
      <c r="R265" s="74">
        <f t="shared" si="33"/>
        <v>0</v>
      </c>
      <c r="S265" s="75">
        <f t="shared" si="34"/>
        <v>0</v>
      </c>
      <c r="T265" s="8" t="e">
        <f t="shared" si="35"/>
        <v>#DIV/0!</v>
      </c>
      <c r="U265" s="9">
        <f t="shared" si="36"/>
        <v>0</v>
      </c>
      <c r="V265" s="3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12"/>
      <c r="AK265" s="2"/>
      <c r="AL265" s="2"/>
      <c r="AM265" s="2"/>
      <c r="AN265" s="4"/>
      <c r="AO265" s="2"/>
      <c r="AP265" s="33"/>
      <c r="AQ265" s="203"/>
      <c r="AR265" s="6"/>
      <c r="AS265" s="108"/>
      <c r="AT265" s="105" t="b">
        <f t="shared" si="38"/>
        <v>0</v>
      </c>
      <c r="AU265" s="109" t="str">
        <f t="shared" si="37"/>
        <v>A</v>
      </c>
      <c r="AV265" s="110"/>
      <c r="AW265" s="111"/>
    </row>
    <row r="266" spans="1:49" x14ac:dyDescent="0.35">
      <c r="A266" s="119"/>
    </row>
    <row r="267" spans="1:49" x14ac:dyDescent="0.35">
      <c r="A267" s="119"/>
    </row>
    <row r="268" spans="1:49" x14ac:dyDescent="0.35">
      <c r="A268" s="119"/>
    </row>
    <row r="269" spans="1:49" x14ac:dyDescent="0.35">
      <c r="A269" s="119"/>
      <c r="G269" s="122"/>
    </row>
    <row r="270" spans="1:49" x14ac:dyDescent="0.35">
      <c r="A270" s="119"/>
    </row>
    <row r="271" spans="1:49" x14ac:dyDescent="0.35">
      <c r="A271" s="119"/>
    </row>
    <row r="272" spans="1:49" x14ac:dyDescent="0.35">
      <c r="A272" s="119"/>
      <c r="I272" s="141"/>
    </row>
    <row r="273" spans="1:1" x14ac:dyDescent="0.35">
      <c r="A273" s="119"/>
    </row>
    <row r="274" spans="1:1" x14ac:dyDescent="0.35">
      <c r="A274" s="119"/>
    </row>
    <row r="275" spans="1:1" x14ac:dyDescent="0.35">
      <c r="A275" s="119"/>
    </row>
    <row r="276" spans="1:1" x14ac:dyDescent="0.35">
      <c r="A276" s="119"/>
    </row>
    <row r="277" spans="1:1" x14ac:dyDescent="0.35">
      <c r="A277" s="119"/>
    </row>
    <row r="278" spans="1:1" x14ac:dyDescent="0.35">
      <c r="A278" s="119"/>
    </row>
    <row r="279" spans="1:1" x14ac:dyDescent="0.35">
      <c r="A279" s="119"/>
    </row>
    <row r="280" spans="1:1" x14ac:dyDescent="0.35">
      <c r="A280" s="119"/>
    </row>
    <row r="281" spans="1:1" x14ac:dyDescent="0.35">
      <c r="A281" s="119"/>
    </row>
  </sheetData>
  <autoFilter ref="A1:AW265" xr:uid="{00000000-0009-0000-0000-000000000000}">
    <filterColumn colId="47" showButton="0"/>
  </autoFilter>
  <sortState xmlns:xlrd2="http://schemas.microsoft.com/office/spreadsheetml/2017/richdata2" ref="A2:AS267">
    <sortCondition ref="A2:A267"/>
  </sortState>
  <hyperlinks>
    <hyperlink ref="AM2" r:id="rId1" xr:uid="{00000000-0004-0000-0000-000001000000}"/>
    <hyperlink ref="AM7" r:id="rId2" xr:uid="{00000000-0004-0000-0000-000006000000}"/>
    <hyperlink ref="AM8" r:id="rId3" xr:uid="{00000000-0004-0000-0000-000009000000}"/>
    <hyperlink ref="AM10" r:id="rId4" xr:uid="{00000000-0004-0000-0000-00000C000000}"/>
    <hyperlink ref="AM11" r:id="rId5" xr:uid="{00000000-0004-0000-0000-00000F000000}"/>
    <hyperlink ref="AM12" r:id="rId6" xr:uid="{00000000-0004-0000-0000-000011000000}"/>
    <hyperlink ref="AM13" r:id="rId7" xr:uid="{00000000-0004-0000-0000-000013000000}"/>
    <hyperlink ref="AM16" r:id="rId8" xr:uid="{00000000-0004-0000-0000-000016000000}"/>
    <hyperlink ref="AM17" r:id="rId9" xr:uid="{00000000-0004-0000-0000-000018000000}"/>
    <hyperlink ref="AM19" r:id="rId10" xr:uid="{00000000-0004-0000-0000-00001B000000}"/>
    <hyperlink ref="AM21" r:id="rId11" xr:uid="{00000000-0004-0000-0000-00001E000000}"/>
    <hyperlink ref="AM23" r:id="rId12" xr:uid="{00000000-0004-0000-0000-000021000000}"/>
    <hyperlink ref="AM29" r:id="rId13" xr:uid="{00000000-0004-0000-0000-00002A000000}"/>
    <hyperlink ref="AM31" r:id="rId14" xr:uid="{00000000-0004-0000-0000-00002D000000}"/>
    <hyperlink ref="AM30" r:id="rId15" xr:uid="{00000000-0004-0000-0000-00002E000000}"/>
    <hyperlink ref="AM32" r:id="rId16" xr:uid="{00000000-0004-0000-0000-000031000000}"/>
    <hyperlink ref="AM33" r:id="rId17" xr:uid="{00000000-0004-0000-0000-000034000000}"/>
    <hyperlink ref="AM34" r:id="rId18" xr:uid="{00000000-0004-0000-0000-000036000000}"/>
    <hyperlink ref="AM35" r:id="rId19" xr:uid="{00000000-0004-0000-0000-000039000000}"/>
    <hyperlink ref="AM39" r:id="rId20" xr:uid="{00000000-0004-0000-0000-00003D000000}"/>
    <hyperlink ref="AM43" r:id="rId21" xr:uid="{00000000-0004-0000-0000-000040000000}"/>
    <hyperlink ref="AM45" r:id="rId22" xr:uid="{00000000-0004-0000-0000-000041000000}"/>
    <hyperlink ref="AM47" r:id="rId23" xr:uid="{00000000-0004-0000-0000-000044000000}"/>
    <hyperlink ref="AM48" r:id="rId24" xr:uid="{00000000-0004-0000-0000-000046000000}"/>
    <hyperlink ref="AM50" r:id="rId25" xr:uid="{00000000-0004-0000-0000-000049000000}"/>
    <hyperlink ref="AM53" r:id="rId26" xr:uid="{00000000-0004-0000-0000-00004D000000}"/>
    <hyperlink ref="AM54" r:id="rId27" xr:uid="{00000000-0004-0000-0000-00004F000000}"/>
    <hyperlink ref="AM55" r:id="rId28" xr:uid="{00000000-0004-0000-0000-000051000000}"/>
    <hyperlink ref="AM56" r:id="rId29" xr:uid="{00000000-0004-0000-0000-000053000000}"/>
    <hyperlink ref="AM57" r:id="rId30" xr:uid="{00000000-0004-0000-0000-000055000000}"/>
    <hyperlink ref="AM58" r:id="rId31" xr:uid="{00000000-0004-0000-0000-000058000000}"/>
    <hyperlink ref="AM61" r:id="rId32" xr:uid="{00000000-0004-0000-0000-00005B000000}"/>
    <hyperlink ref="AM75" r:id="rId33" xr:uid="{00000000-0004-0000-0000-000063000000}"/>
    <hyperlink ref="AM76" r:id="rId34" xr:uid="{00000000-0004-0000-0000-000065000000}"/>
    <hyperlink ref="AM77" r:id="rId35" xr:uid="{00000000-0004-0000-0000-000068000000}"/>
    <hyperlink ref="AM79" r:id="rId36" xr:uid="{00000000-0004-0000-0000-00006A000000}"/>
    <hyperlink ref="AM80" r:id="rId37" xr:uid="{00000000-0004-0000-0000-00006D000000}"/>
    <hyperlink ref="AM82" r:id="rId38" display="stephananimateur@live.fr" xr:uid="{00000000-0004-0000-0000-00006F000000}"/>
    <hyperlink ref="AM85" r:id="rId39" xr:uid="{00000000-0004-0000-0000-000072000000}"/>
    <hyperlink ref="AM87" r:id="rId40" xr:uid="{00000000-0004-0000-0000-000074000000}"/>
    <hyperlink ref="AM88" r:id="rId41" xr:uid="{00000000-0004-0000-0000-000077000000}"/>
    <hyperlink ref="AM94" r:id="rId42" xr:uid="{00000000-0004-0000-0000-00007B000000}"/>
    <hyperlink ref="AM96" r:id="rId43" xr:uid="{00000000-0004-0000-0000-00007D000000}"/>
    <hyperlink ref="AM97" r:id="rId44" xr:uid="{00000000-0004-0000-0000-000080000000}"/>
    <hyperlink ref="AM98" r:id="rId45" xr:uid="{00000000-0004-0000-0000-000083000000}"/>
    <hyperlink ref="AM99" r:id="rId46" xr:uid="{00000000-0004-0000-0000-000084000000}"/>
    <hyperlink ref="AM100" r:id="rId47" xr:uid="{00000000-0004-0000-0000-000086000000}"/>
    <hyperlink ref="AM101" r:id="rId48" xr:uid="{00000000-0004-0000-0000-000088000000}"/>
    <hyperlink ref="AM102" r:id="rId49" xr:uid="{00000000-0004-0000-0000-00008B000000}"/>
    <hyperlink ref="AM59" r:id="rId50" xr:uid="{00000000-0004-0000-0000-00008E000000}"/>
    <hyperlink ref="AM105" r:id="rId51" xr:uid="{00000000-0004-0000-0000-000091000000}"/>
    <hyperlink ref="AM106" r:id="rId52" xr:uid="{00000000-0004-0000-0000-000092000000}"/>
    <hyperlink ref="AM107" r:id="rId53" xr:uid="{00000000-0004-0000-0000-000094000000}"/>
    <hyperlink ref="AM108" r:id="rId54" xr:uid="{00000000-0004-0000-0000-000096000000}"/>
    <hyperlink ref="AM111" r:id="rId55" xr:uid="{00000000-0004-0000-0000-00009B000000}"/>
    <hyperlink ref="AM112" r:id="rId56" xr:uid="{00000000-0004-0000-0000-00009D000000}"/>
    <hyperlink ref="AM113" r:id="rId57" xr:uid="{00000000-0004-0000-0000-0000A0000000}"/>
    <hyperlink ref="AM114" r:id="rId58" xr:uid="{00000000-0004-0000-0000-0000A3000000}"/>
    <hyperlink ref="AM115" r:id="rId59" xr:uid="{00000000-0004-0000-0000-0000A5000000}"/>
    <hyperlink ref="AM116" r:id="rId60" xr:uid="{00000000-0004-0000-0000-0000A8000000}"/>
    <hyperlink ref="AM117" r:id="rId61" xr:uid="{00000000-0004-0000-0000-0000AB000000}"/>
    <hyperlink ref="AM118" r:id="rId62" xr:uid="{00000000-0004-0000-0000-0000AD000000}"/>
    <hyperlink ref="AM119" r:id="rId63" xr:uid="{00000000-0004-0000-0000-0000AF000000}"/>
    <hyperlink ref="AM120" r:id="rId64" xr:uid="{00000000-0004-0000-0000-0000B1000000}"/>
    <hyperlink ref="AM121" r:id="rId65" xr:uid="{00000000-0004-0000-0000-0000B3000000}"/>
    <hyperlink ref="AM122" r:id="rId66" xr:uid="{00000000-0004-0000-0000-0000B5000000}"/>
    <hyperlink ref="AM123" r:id="rId67" xr:uid="{00000000-0004-0000-0000-0000B8000000}"/>
    <hyperlink ref="AM124" r:id="rId68" xr:uid="{00000000-0004-0000-0000-0000BB000000}"/>
    <hyperlink ref="AM125" r:id="rId69" xr:uid="{00000000-0004-0000-0000-0000BE000000}"/>
    <hyperlink ref="AM126" r:id="rId70" xr:uid="{00000000-0004-0000-0000-0000C0000000}"/>
    <hyperlink ref="AM127" r:id="rId71" xr:uid="{00000000-0004-0000-0000-0000C2000000}"/>
    <hyperlink ref="AM133" r:id="rId72" xr:uid="{00000000-0004-0000-0000-0000C8000000}"/>
    <hyperlink ref="AM134" r:id="rId73" xr:uid="{00000000-0004-0000-0000-0000CB000000}"/>
    <hyperlink ref="AM135" r:id="rId74" xr:uid="{00000000-0004-0000-0000-0000CE000000}"/>
    <hyperlink ref="AM136" r:id="rId75" xr:uid="{00000000-0004-0000-0000-0000D0000000}"/>
    <hyperlink ref="AM138" r:id="rId76" xr:uid="{00000000-0004-0000-0000-0000D2000000}"/>
    <hyperlink ref="AM139" r:id="rId77" xr:uid="{00000000-0004-0000-0000-0000D4000000}"/>
    <hyperlink ref="AM141" r:id="rId78" xr:uid="{00000000-0004-0000-0000-0000D8000000}"/>
    <hyperlink ref="AM143" r:id="rId79" xr:uid="{00000000-0004-0000-0000-0000DC000000}"/>
    <hyperlink ref="AM144" r:id="rId80" xr:uid="{00000000-0004-0000-0000-0000DF000000}"/>
    <hyperlink ref="AM145" r:id="rId81" xr:uid="{00000000-0004-0000-0000-0000E1000000}"/>
    <hyperlink ref="AM146" r:id="rId82" xr:uid="{00000000-0004-0000-0000-0000E5000000}"/>
    <hyperlink ref="AM147" r:id="rId83" xr:uid="{00000000-0004-0000-0000-0000E7000000}"/>
    <hyperlink ref="AM148" r:id="rId84" xr:uid="{00000000-0004-0000-0000-0000E9000000}"/>
    <hyperlink ref="AM149" r:id="rId85" xr:uid="{00000000-0004-0000-0000-0000EB000000}"/>
    <hyperlink ref="AM150" r:id="rId86" xr:uid="{00000000-0004-0000-0000-0000ED000000}"/>
    <hyperlink ref="AM152" r:id="rId87" xr:uid="{00000000-0004-0000-0000-0000F0000000}"/>
    <hyperlink ref="AM153" r:id="rId88" xr:uid="{00000000-0004-0000-0000-0000F3000000}"/>
    <hyperlink ref="AM154" r:id="rId89" xr:uid="{00000000-0004-0000-0000-0000F5000000}"/>
    <hyperlink ref="AM162" r:id="rId90" xr:uid="{00000000-0004-0000-0000-0000FF000000}"/>
    <hyperlink ref="AM165" r:id="rId91" xr:uid="{00000000-0004-0000-0000-000002010000}"/>
    <hyperlink ref="AM14" r:id="rId92" xr:uid="{00000000-0004-0000-0000-000004010000}"/>
    <hyperlink ref="AM166" r:id="rId93" xr:uid="{00000000-0004-0000-0000-000007010000}"/>
    <hyperlink ref="AM81" r:id="rId94" xr:uid="{00000000-0004-0000-0000-000009010000}"/>
  </hyperlinks>
  <pageMargins left="0.7" right="0.7" top="0.75" bottom="0.75" header="0.3" footer="0.3"/>
  <pageSetup paperSize="9" scale="10" fitToHeight="0" orientation="landscape" r:id="rId95"/>
  <drawing r:id="rId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D6FC3-5EB4-493F-B2AA-B8647CA8192A}">
  <dimension ref="A1:X54"/>
  <sheetViews>
    <sheetView zoomScale="55" workbookViewId="0">
      <selection activeCell="I12" sqref="I12"/>
    </sheetView>
  </sheetViews>
  <sheetFormatPr baseColWidth="10" defaultRowHeight="14.5" x14ac:dyDescent="0.35"/>
  <cols>
    <col min="2" max="2" width="19.453125" customWidth="1"/>
    <col min="3" max="4" width="25.453125" customWidth="1"/>
    <col min="5" max="5" width="14" customWidth="1"/>
    <col min="6" max="6" width="14" style="211" customWidth="1"/>
    <col min="7" max="7" width="25.1796875" style="211" customWidth="1"/>
    <col min="8" max="8" width="16.81640625" customWidth="1"/>
    <col min="9" max="9" width="14.54296875" customWidth="1"/>
    <col min="11" max="11" width="24.81640625" customWidth="1"/>
    <col min="12" max="12" width="18.54296875" customWidth="1"/>
    <col min="13" max="14" width="25.26953125" customWidth="1"/>
    <col min="15" max="15" width="14.26953125" customWidth="1"/>
    <col min="16" max="16" width="15.453125" customWidth="1"/>
    <col min="17" max="17" width="43.54296875" customWidth="1"/>
    <col min="18" max="18" width="20.54296875" customWidth="1"/>
    <col min="19" max="19" width="15.453125" customWidth="1"/>
    <col min="21" max="21" width="18.81640625" customWidth="1"/>
    <col min="22" max="22" width="23.453125" customWidth="1"/>
    <col min="23" max="23" width="25.81640625" customWidth="1"/>
    <col min="24" max="24" width="20" customWidth="1"/>
  </cols>
  <sheetData>
    <row r="1" spans="1:24" ht="43.5" x14ac:dyDescent="0.35">
      <c r="A1" s="218" t="s">
        <v>948</v>
      </c>
      <c r="B1" s="219"/>
      <c r="C1" s="220" t="s">
        <v>949</v>
      </c>
      <c r="D1" s="221"/>
      <c r="E1" s="222" t="s">
        <v>950</v>
      </c>
      <c r="F1" s="240"/>
      <c r="G1" s="244" t="s">
        <v>951</v>
      </c>
      <c r="H1" s="223" t="s">
        <v>952</v>
      </c>
      <c r="I1" s="224" t="s">
        <v>953</v>
      </c>
      <c r="J1" s="225"/>
      <c r="K1" s="225"/>
      <c r="L1" s="226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</row>
    <row r="2" spans="1:24" ht="55.5" x14ac:dyDescent="0.35">
      <c r="A2" s="227" t="s">
        <v>954</v>
      </c>
      <c r="B2" s="227" t="s">
        <v>955</v>
      </c>
      <c r="C2" s="227" t="s">
        <v>956</v>
      </c>
      <c r="D2" s="227" t="s">
        <v>957</v>
      </c>
      <c r="E2" s="227" t="s">
        <v>958</v>
      </c>
      <c r="F2" s="241" t="s">
        <v>1204</v>
      </c>
      <c r="G2" s="241" t="s">
        <v>959</v>
      </c>
      <c r="H2" s="227" t="s">
        <v>960</v>
      </c>
      <c r="I2" s="227" t="s">
        <v>961</v>
      </c>
      <c r="J2" s="227" t="s">
        <v>962</v>
      </c>
      <c r="K2" s="227" t="s">
        <v>963</v>
      </c>
      <c r="L2" s="227" t="s">
        <v>964</v>
      </c>
      <c r="M2" s="227" t="s">
        <v>965</v>
      </c>
      <c r="N2" s="227" t="s">
        <v>966</v>
      </c>
      <c r="O2" s="227" t="s">
        <v>967</v>
      </c>
      <c r="P2" s="227" t="s">
        <v>968</v>
      </c>
      <c r="Q2" s="227" t="s">
        <v>969</v>
      </c>
      <c r="R2" s="227" t="s">
        <v>1209</v>
      </c>
      <c r="S2" s="227" t="s">
        <v>967</v>
      </c>
      <c r="T2" s="227" t="s">
        <v>968</v>
      </c>
      <c r="U2" s="227" t="s">
        <v>971</v>
      </c>
      <c r="V2" s="227" t="s">
        <v>972</v>
      </c>
      <c r="W2" s="227" t="s">
        <v>973</v>
      </c>
      <c r="X2" s="227" t="s">
        <v>974</v>
      </c>
    </row>
    <row r="3" spans="1:24" ht="43.5" x14ac:dyDescent="0.35">
      <c r="A3" s="228">
        <v>1</v>
      </c>
      <c r="B3" s="228" t="s">
        <v>975</v>
      </c>
      <c r="C3" s="228" t="s">
        <v>976</v>
      </c>
      <c r="D3" s="228" t="s">
        <v>977</v>
      </c>
      <c r="E3" s="229" t="s">
        <v>978</v>
      </c>
      <c r="F3" s="242">
        <v>31</v>
      </c>
      <c r="G3" s="242" t="s">
        <v>979</v>
      </c>
      <c r="H3" s="228">
        <v>4</v>
      </c>
      <c r="I3" s="229" t="s">
        <v>52</v>
      </c>
      <c r="J3" s="228" t="s">
        <v>980</v>
      </c>
      <c r="K3" s="228" t="s">
        <v>981</v>
      </c>
      <c r="L3" s="229" t="s">
        <v>982</v>
      </c>
      <c r="M3" s="228">
        <v>3</v>
      </c>
      <c r="N3" s="229" t="s">
        <v>983</v>
      </c>
      <c r="O3" s="228">
        <v>2</v>
      </c>
      <c r="P3" s="228">
        <v>1</v>
      </c>
      <c r="Q3" s="229" t="s">
        <v>984</v>
      </c>
      <c r="R3" s="228">
        <v>13</v>
      </c>
      <c r="S3" s="228">
        <v>5</v>
      </c>
      <c r="T3" s="228">
        <v>8</v>
      </c>
      <c r="U3" s="228">
        <v>13</v>
      </c>
      <c r="V3" s="228">
        <v>0</v>
      </c>
      <c r="W3" s="228">
        <v>13</v>
      </c>
      <c r="X3" s="228">
        <v>0</v>
      </c>
    </row>
    <row r="4" spans="1:24" ht="43.5" x14ac:dyDescent="0.35">
      <c r="A4" s="228">
        <v>2</v>
      </c>
      <c r="B4" s="228" t="s">
        <v>985</v>
      </c>
      <c r="C4" s="228" t="s">
        <v>986</v>
      </c>
      <c r="D4" s="228" t="s">
        <v>977</v>
      </c>
      <c r="E4" s="229" t="s">
        <v>987</v>
      </c>
      <c r="F4" s="242">
        <v>11</v>
      </c>
      <c r="G4" s="242" t="s">
        <v>988</v>
      </c>
      <c r="H4" s="228">
        <v>4</v>
      </c>
      <c r="I4" s="229" t="s">
        <v>52</v>
      </c>
      <c r="J4" s="228" t="s">
        <v>989</v>
      </c>
      <c r="K4" s="228" t="s">
        <v>990</v>
      </c>
      <c r="L4" s="229" t="s">
        <v>982</v>
      </c>
      <c r="M4" s="228">
        <v>3</v>
      </c>
      <c r="N4" s="229" t="s">
        <v>991</v>
      </c>
      <c r="O4" s="228">
        <v>1</v>
      </c>
      <c r="P4" s="228">
        <v>2</v>
      </c>
      <c r="Q4" s="229" t="s">
        <v>992</v>
      </c>
      <c r="R4" s="228">
        <v>15</v>
      </c>
      <c r="S4" s="228">
        <v>6</v>
      </c>
      <c r="T4" s="228">
        <v>9</v>
      </c>
      <c r="U4" s="228">
        <v>14</v>
      </c>
      <c r="V4" s="228">
        <v>1</v>
      </c>
      <c r="W4" s="228">
        <v>0</v>
      </c>
      <c r="X4" s="228">
        <v>0</v>
      </c>
    </row>
    <row r="5" spans="1:24" ht="43.5" x14ac:dyDescent="0.35">
      <c r="A5" s="228">
        <v>3</v>
      </c>
      <c r="B5" s="228" t="s">
        <v>993</v>
      </c>
      <c r="C5" s="228" t="s">
        <v>986</v>
      </c>
      <c r="D5" s="228" t="s">
        <v>977</v>
      </c>
      <c r="E5" s="229" t="s">
        <v>994</v>
      </c>
      <c r="F5" s="242">
        <v>32</v>
      </c>
      <c r="G5" s="242" t="s">
        <v>995</v>
      </c>
      <c r="H5" s="228">
        <v>4</v>
      </c>
      <c r="I5" s="229" t="s">
        <v>52</v>
      </c>
      <c r="J5" s="228" t="s">
        <v>980</v>
      </c>
      <c r="K5" s="228" t="s">
        <v>996</v>
      </c>
      <c r="L5" s="229" t="s">
        <v>982</v>
      </c>
      <c r="M5" s="228">
        <v>3</v>
      </c>
      <c r="N5" s="229" t="s">
        <v>997</v>
      </c>
      <c r="O5" s="230">
        <v>1</v>
      </c>
      <c r="P5" s="229">
        <v>2</v>
      </c>
      <c r="Q5" s="229" t="s">
        <v>998</v>
      </c>
      <c r="R5" s="228">
        <v>17</v>
      </c>
      <c r="S5" s="228">
        <v>5</v>
      </c>
      <c r="T5" s="228">
        <v>12</v>
      </c>
      <c r="U5" s="228">
        <v>17</v>
      </c>
      <c r="V5" s="228">
        <v>0</v>
      </c>
      <c r="W5" s="228">
        <v>0</v>
      </c>
      <c r="X5" s="228">
        <v>0</v>
      </c>
    </row>
    <row r="6" spans="1:24" ht="43.5" x14ac:dyDescent="0.35">
      <c r="A6" s="228">
        <v>4</v>
      </c>
      <c r="B6" s="228" t="s">
        <v>999</v>
      </c>
      <c r="C6" s="228" t="s">
        <v>986</v>
      </c>
      <c r="D6" s="228" t="s">
        <v>977</v>
      </c>
      <c r="E6" s="229" t="s">
        <v>1000</v>
      </c>
      <c r="F6" s="242">
        <v>63</v>
      </c>
      <c r="G6" s="242">
        <v>63463</v>
      </c>
      <c r="H6" s="228">
        <v>5</v>
      </c>
      <c r="I6" s="229" t="s">
        <v>1001</v>
      </c>
      <c r="J6" s="228" t="s">
        <v>989</v>
      </c>
      <c r="K6" s="228" t="s">
        <v>1002</v>
      </c>
      <c r="L6" s="229" t="s">
        <v>1003</v>
      </c>
      <c r="M6" s="228">
        <v>1</v>
      </c>
      <c r="N6" s="229" t="s">
        <v>1004</v>
      </c>
      <c r="O6" s="228">
        <v>1</v>
      </c>
      <c r="P6" s="229">
        <v>0</v>
      </c>
      <c r="Q6" s="229" t="s">
        <v>1005</v>
      </c>
      <c r="R6" s="228">
        <v>12</v>
      </c>
      <c r="S6" s="228">
        <v>8</v>
      </c>
      <c r="T6" s="228">
        <v>4</v>
      </c>
      <c r="U6" s="228">
        <v>12</v>
      </c>
      <c r="V6" s="228">
        <v>0</v>
      </c>
      <c r="W6" s="228">
        <v>0</v>
      </c>
      <c r="X6" s="228">
        <v>0</v>
      </c>
    </row>
    <row r="7" spans="1:24" ht="43.5" x14ac:dyDescent="0.35">
      <c r="A7" s="230">
        <v>5</v>
      </c>
      <c r="B7" s="228" t="s">
        <v>1006</v>
      </c>
      <c r="C7" s="228" t="s">
        <v>986</v>
      </c>
      <c r="D7" s="228" t="s">
        <v>977</v>
      </c>
      <c r="E7" s="229" t="s">
        <v>1007</v>
      </c>
      <c r="F7" s="242" t="s">
        <v>629</v>
      </c>
      <c r="G7" s="242" t="s">
        <v>1008</v>
      </c>
      <c r="H7" s="228">
        <v>6</v>
      </c>
      <c r="I7" s="229" t="s">
        <v>246</v>
      </c>
      <c r="J7" s="228" t="s">
        <v>980</v>
      </c>
      <c r="K7" s="228" t="s">
        <v>1009</v>
      </c>
      <c r="L7" s="229" t="s">
        <v>982</v>
      </c>
      <c r="M7" s="228">
        <v>3</v>
      </c>
      <c r="N7" s="229" t="s">
        <v>1010</v>
      </c>
      <c r="O7" s="228">
        <v>1</v>
      </c>
      <c r="P7" s="228">
        <v>2</v>
      </c>
      <c r="Q7" s="229" t="s">
        <v>984</v>
      </c>
      <c r="R7" s="228">
        <v>20</v>
      </c>
      <c r="S7" s="228">
        <v>18</v>
      </c>
      <c r="T7" s="228">
        <v>2</v>
      </c>
      <c r="U7" s="228">
        <v>20</v>
      </c>
      <c r="V7" s="228">
        <v>0</v>
      </c>
      <c r="W7" s="228">
        <v>0</v>
      </c>
      <c r="X7" s="228">
        <v>0</v>
      </c>
    </row>
    <row r="8" spans="1:24" ht="43.5" x14ac:dyDescent="0.35">
      <c r="A8" s="228">
        <v>6</v>
      </c>
      <c r="B8" s="228" t="s">
        <v>1011</v>
      </c>
      <c r="C8" s="228" t="s">
        <v>976</v>
      </c>
      <c r="D8" s="228" t="s">
        <v>977</v>
      </c>
      <c r="E8" s="229" t="s">
        <v>1012</v>
      </c>
      <c r="F8" s="242" t="s">
        <v>629</v>
      </c>
      <c r="G8" s="242" t="s">
        <v>1008</v>
      </c>
      <c r="H8" s="228">
        <v>6</v>
      </c>
      <c r="I8" s="229" t="s">
        <v>246</v>
      </c>
      <c r="J8" s="228" t="s">
        <v>980</v>
      </c>
      <c r="K8" s="228" t="s">
        <v>1013</v>
      </c>
      <c r="L8" s="229" t="s">
        <v>982</v>
      </c>
      <c r="M8" s="228">
        <v>2</v>
      </c>
      <c r="N8" s="229" t="s">
        <v>1014</v>
      </c>
      <c r="O8" s="230">
        <v>1</v>
      </c>
      <c r="P8" s="228">
        <v>1</v>
      </c>
      <c r="Q8" s="229" t="s">
        <v>1015</v>
      </c>
      <c r="R8" s="228">
        <v>5</v>
      </c>
      <c r="S8" s="228">
        <v>3</v>
      </c>
      <c r="T8" s="228">
        <v>2</v>
      </c>
      <c r="U8" s="228">
        <v>5</v>
      </c>
      <c r="V8" s="228">
        <v>0</v>
      </c>
      <c r="W8" s="228">
        <v>5</v>
      </c>
      <c r="X8" s="228">
        <v>0</v>
      </c>
    </row>
    <row r="9" spans="1:24" ht="58" x14ac:dyDescent="0.35">
      <c r="A9" s="229">
        <v>7</v>
      </c>
      <c r="B9" s="228" t="s">
        <v>1016</v>
      </c>
      <c r="C9" s="228" t="s">
        <v>986</v>
      </c>
      <c r="D9" s="228" t="s">
        <v>977</v>
      </c>
      <c r="E9" s="229" t="s">
        <v>994</v>
      </c>
      <c r="F9" s="242" t="s">
        <v>429</v>
      </c>
      <c r="G9" s="242" t="s">
        <v>1017</v>
      </c>
      <c r="H9" s="228">
        <v>4</v>
      </c>
      <c r="I9" s="229" t="s">
        <v>52</v>
      </c>
      <c r="J9" s="228" t="s">
        <v>989</v>
      </c>
      <c r="K9" s="228" t="s">
        <v>1018</v>
      </c>
      <c r="L9" s="229" t="s">
        <v>982</v>
      </c>
      <c r="M9" s="228">
        <v>4</v>
      </c>
      <c r="N9" s="229" t="s">
        <v>1019</v>
      </c>
      <c r="O9" s="228">
        <v>2</v>
      </c>
      <c r="P9" s="228">
        <v>2</v>
      </c>
      <c r="Q9" s="229" t="s">
        <v>1020</v>
      </c>
      <c r="R9" s="228">
        <v>21</v>
      </c>
      <c r="S9" s="228">
        <v>8</v>
      </c>
      <c r="T9" s="228">
        <v>13</v>
      </c>
      <c r="U9" s="228">
        <v>19</v>
      </c>
      <c r="V9" s="228">
        <v>2</v>
      </c>
      <c r="W9" s="228">
        <v>0</v>
      </c>
      <c r="X9" s="228">
        <v>0</v>
      </c>
    </row>
    <row r="10" spans="1:24" ht="72.5" x14ac:dyDescent="0.35">
      <c r="A10" s="228">
        <v>8</v>
      </c>
      <c r="B10" s="228" t="s">
        <v>1021</v>
      </c>
      <c r="C10" s="228" t="s">
        <v>986</v>
      </c>
      <c r="D10" s="228" t="s">
        <v>977</v>
      </c>
      <c r="E10" s="229" t="s">
        <v>1022</v>
      </c>
      <c r="F10" s="242" t="s">
        <v>215</v>
      </c>
      <c r="G10" s="242" t="s">
        <v>1023</v>
      </c>
      <c r="H10" s="228">
        <v>4</v>
      </c>
      <c r="I10" s="229" t="s">
        <v>437</v>
      </c>
      <c r="J10" s="228" t="s">
        <v>989</v>
      </c>
      <c r="K10" s="228" t="s">
        <v>1024</v>
      </c>
      <c r="L10" s="229" t="s">
        <v>1025</v>
      </c>
      <c r="M10" s="228">
        <v>1</v>
      </c>
      <c r="N10" s="228" t="s">
        <v>1026</v>
      </c>
      <c r="O10" s="228">
        <v>0</v>
      </c>
      <c r="P10" s="228">
        <v>1</v>
      </c>
      <c r="Q10" s="229" t="s">
        <v>982</v>
      </c>
      <c r="R10" s="228">
        <v>12</v>
      </c>
      <c r="S10" s="228">
        <v>5</v>
      </c>
      <c r="T10" s="228">
        <v>7</v>
      </c>
      <c r="U10" s="228">
        <v>12</v>
      </c>
      <c r="V10" s="228">
        <v>0</v>
      </c>
      <c r="W10" s="228">
        <v>0</v>
      </c>
      <c r="X10" s="228">
        <v>0</v>
      </c>
    </row>
    <row r="11" spans="1:24" ht="43.5" x14ac:dyDescent="0.35">
      <c r="A11" s="228">
        <v>9</v>
      </c>
      <c r="B11" s="228" t="s">
        <v>1027</v>
      </c>
      <c r="C11" s="228" t="s">
        <v>986</v>
      </c>
      <c r="D11" s="228" t="s">
        <v>977</v>
      </c>
      <c r="E11" s="229" t="s">
        <v>994</v>
      </c>
      <c r="F11" s="242" t="s">
        <v>152</v>
      </c>
      <c r="G11" s="242">
        <v>59416</v>
      </c>
      <c r="H11" s="228">
        <v>1</v>
      </c>
      <c r="I11" s="229" t="s">
        <v>1028</v>
      </c>
      <c r="J11" s="231" t="s">
        <v>989</v>
      </c>
      <c r="K11" s="228" t="s">
        <v>1029</v>
      </c>
      <c r="L11" s="229" t="s">
        <v>982</v>
      </c>
      <c r="M11" s="228">
        <v>3</v>
      </c>
      <c r="N11" s="229" t="s">
        <v>1030</v>
      </c>
      <c r="O11" s="228">
        <v>2</v>
      </c>
      <c r="P11" s="228">
        <v>1</v>
      </c>
      <c r="Q11" s="229" t="s">
        <v>984</v>
      </c>
      <c r="R11" s="228">
        <v>34</v>
      </c>
      <c r="S11" s="228">
        <v>17</v>
      </c>
      <c r="T11" s="228">
        <v>17</v>
      </c>
      <c r="U11" s="228">
        <v>33</v>
      </c>
      <c r="V11" s="228">
        <v>1</v>
      </c>
      <c r="W11" s="228">
        <v>0</v>
      </c>
      <c r="X11" s="228">
        <v>0</v>
      </c>
    </row>
    <row r="12" spans="1:24" ht="43.5" x14ac:dyDescent="0.35">
      <c r="A12" s="228">
        <v>10</v>
      </c>
      <c r="B12" s="228" t="s">
        <v>1031</v>
      </c>
      <c r="C12" s="228" t="s">
        <v>986</v>
      </c>
      <c r="D12" s="228" t="s">
        <v>1032</v>
      </c>
      <c r="E12" s="229" t="s">
        <v>1033</v>
      </c>
      <c r="F12" s="242" t="s">
        <v>1205</v>
      </c>
      <c r="G12" s="242" t="s">
        <v>1034</v>
      </c>
      <c r="H12" s="231">
        <v>1</v>
      </c>
      <c r="I12" s="228" t="s">
        <v>1028</v>
      </c>
      <c r="J12" s="228" t="s">
        <v>980</v>
      </c>
      <c r="K12" s="229" t="s">
        <v>1035</v>
      </c>
      <c r="L12" s="229" t="s">
        <v>982</v>
      </c>
      <c r="M12" s="228">
        <v>2</v>
      </c>
      <c r="N12" s="229" t="s">
        <v>1036</v>
      </c>
      <c r="O12" s="228">
        <v>2</v>
      </c>
      <c r="P12" s="228">
        <v>0</v>
      </c>
      <c r="Q12" s="229" t="s">
        <v>1015</v>
      </c>
      <c r="R12" s="228">
        <v>23</v>
      </c>
      <c r="S12" s="228">
        <v>3</v>
      </c>
      <c r="T12" s="228">
        <v>20</v>
      </c>
      <c r="U12" s="228">
        <v>21</v>
      </c>
      <c r="V12" s="228">
        <v>2</v>
      </c>
      <c r="W12" s="228">
        <v>0</v>
      </c>
      <c r="X12" s="228">
        <v>0</v>
      </c>
    </row>
    <row r="13" spans="1:24" ht="43.5" x14ac:dyDescent="0.35">
      <c r="A13" s="228">
        <v>11</v>
      </c>
      <c r="B13" s="228" t="s">
        <v>1037</v>
      </c>
      <c r="C13" s="228" t="s">
        <v>976</v>
      </c>
      <c r="D13" s="228" t="s">
        <v>977</v>
      </c>
      <c r="E13" s="229" t="s">
        <v>978</v>
      </c>
      <c r="F13" s="242" t="s">
        <v>152</v>
      </c>
      <c r="G13" s="242">
        <v>59416</v>
      </c>
      <c r="H13" s="228">
        <v>1</v>
      </c>
      <c r="I13" s="228" t="s">
        <v>1028</v>
      </c>
      <c r="J13" s="228" t="s">
        <v>980</v>
      </c>
      <c r="K13" s="228" t="s">
        <v>1038</v>
      </c>
      <c r="L13" s="229" t="s">
        <v>982</v>
      </c>
      <c r="M13" s="228">
        <v>1</v>
      </c>
      <c r="N13" s="229" t="s">
        <v>1039</v>
      </c>
      <c r="O13" s="228">
        <v>1</v>
      </c>
      <c r="P13" s="228">
        <v>0</v>
      </c>
      <c r="Q13" s="229" t="s">
        <v>1040</v>
      </c>
      <c r="R13" s="228">
        <v>15</v>
      </c>
      <c r="S13" s="228">
        <v>5</v>
      </c>
      <c r="T13" s="228">
        <v>10</v>
      </c>
      <c r="U13" s="228">
        <v>14</v>
      </c>
      <c r="V13" s="228">
        <v>1</v>
      </c>
      <c r="W13" s="228">
        <v>15</v>
      </c>
      <c r="X13" s="228">
        <v>0</v>
      </c>
    </row>
    <row r="14" spans="1:24" ht="43.5" x14ac:dyDescent="0.35">
      <c r="A14" s="228">
        <v>12</v>
      </c>
      <c r="B14" s="228" t="s">
        <v>1041</v>
      </c>
      <c r="C14" s="228" t="s">
        <v>1042</v>
      </c>
      <c r="D14" s="228" t="s">
        <v>977</v>
      </c>
      <c r="E14" s="229" t="s">
        <v>1043</v>
      </c>
      <c r="F14" s="242" t="s">
        <v>152</v>
      </c>
      <c r="G14" s="242">
        <v>59043</v>
      </c>
      <c r="H14" s="228">
        <v>1</v>
      </c>
      <c r="I14" s="228" t="s">
        <v>1028</v>
      </c>
      <c r="J14" s="228" t="s">
        <v>989</v>
      </c>
      <c r="K14" s="228" t="s">
        <v>1044</v>
      </c>
      <c r="L14" s="229" t="s">
        <v>982</v>
      </c>
      <c r="M14" s="228">
        <v>2</v>
      </c>
      <c r="N14" s="229" t="s">
        <v>1045</v>
      </c>
      <c r="O14" s="228">
        <v>1</v>
      </c>
      <c r="P14" s="228">
        <v>1</v>
      </c>
      <c r="Q14" s="229" t="s">
        <v>1046</v>
      </c>
      <c r="R14" s="228">
        <v>21</v>
      </c>
      <c r="S14" s="228">
        <v>17</v>
      </c>
      <c r="T14" s="228">
        <v>4</v>
      </c>
      <c r="U14" s="228">
        <v>17</v>
      </c>
      <c r="V14" s="228">
        <v>4</v>
      </c>
      <c r="W14" s="228">
        <v>0</v>
      </c>
      <c r="X14" s="228">
        <v>17</v>
      </c>
    </row>
    <row r="15" spans="1:24" ht="43.5" x14ac:dyDescent="0.35">
      <c r="A15" s="229">
        <v>13</v>
      </c>
      <c r="B15" s="228" t="s">
        <v>1047</v>
      </c>
      <c r="C15" s="228" t="s">
        <v>986</v>
      </c>
      <c r="D15" s="228" t="s">
        <v>977</v>
      </c>
      <c r="E15" s="229" t="s">
        <v>1048</v>
      </c>
      <c r="F15" s="242" t="s">
        <v>152</v>
      </c>
      <c r="G15" s="242">
        <v>59416</v>
      </c>
      <c r="H15" s="228">
        <v>1</v>
      </c>
      <c r="I15" s="229" t="s">
        <v>1028</v>
      </c>
      <c r="J15" s="228" t="s">
        <v>989</v>
      </c>
      <c r="K15" s="228" t="s">
        <v>1049</v>
      </c>
      <c r="L15" s="229" t="s">
        <v>982</v>
      </c>
      <c r="M15" s="228">
        <v>1</v>
      </c>
      <c r="N15" s="229" t="s">
        <v>1050</v>
      </c>
      <c r="O15" s="228">
        <v>0</v>
      </c>
      <c r="P15" s="228">
        <v>1</v>
      </c>
      <c r="Q15" s="229" t="s">
        <v>1040</v>
      </c>
      <c r="R15" s="228">
        <v>16</v>
      </c>
      <c r="S15" s="228">
        <v>6</v>
      </c>
      <c r="T15" s="228">
        <v>10</v>
      </c>
      <c r="U15" s="228">
        <v>15</v>
      </c>
      <c r="V15" s="228">
        <v>1</v>
      </c>
      <c r="W15" s="228">
        <v>0</v>
      </c>
      <c r="X15" s="228">
        <v>0</v>
      </c>
    </row>
    <row r="16" spans="1:24" ht="43.5" x14ac:dyDescent="0.35">
      <c r="A16" s="228">
        <v>14</v>
      </c>
      <c r="B16" s="228" t="s">
        <v>1051</v>
      </c>
      <c r="C16" s="228" t="s">
        <v>986</v>
      </c>
      <c r="D16" s="228" t="s">
        <v>977</v>
      </c>
      <c r="E16" s="229" t="s">
        <v>1048</v>
      </c>
      <c r="F16" s="242" t="s">
        <v>152</v>
      </c>
      <c r="G16" s="242">
        <v>59416</v>
      </c>
      <c r="H16" s="228">
        <v>1</v>
      </c>
      <c r="I16" s="229" t="s">
        <v>1028</v>
      </c>
      <c r="J16" s="232" t="s">
        <v>989</v>
      </c>
      <c r="K16" s="232" t="s">
        <v>1052</v>
      </c>
      <c r="L16" s="229" t="s">
        <v>982</v>
      </c>
      <c r="M16" s="231">
        <v>3</v>
      </c>
      <c r="N16" s="229" t="s">
        <v>1053</v>
      </c>
      <c r="O16" s="228">
        <v>1</v>
      </c>
      <c r="P16" s="228">
        <v>2</v>
      </c>
      <c r="Q16" s="229" t="s">
        <v>984</v>
      </c>
      <c r="R16" s="228">
        <v>40</v>
      </c>
      <c r="S16" s="228">
        <v>9</v>
      </c>
      <c r="T16" s="228">
        <v>31</v>
      </c>
      <c r="U16" s="228">
        <v>39</v>
      </c>
      <c r="V16" s="228">
        <v>1</v>
      </c>
      <c r="W16" s="228">
        <v>0</v>
      </c>
      <c r="X16" s="228">
        <v>0</v>
      </c>
    </row>
    <row r="17" spans="1:24" ht="58" x14ac:dyDescent="0.35">
      <c r="A17" s="228">
        <v>15</v>
      </c>
      <c r="B17" s="228" t="s">
        <v>1054</v>
      </c>
      <c r="C17" s="228" t="s">
        <v>986</v>
      </c>
      <c r="D17" s="228" t="s">
        <v>977</v>
      </c>
      <c r="E17" s="229" t="s">
        <v>1055</v>
      </c>
      <c r="F17" s="242" t="s">
        <v>298</v>
      </c>
      <c r="G17" s="242">
        <v>35334</v>
      </c>
      <c r="H17" s="228">
        <v>2</v>
      </c>
      <c r="I17" s="229" t="s">
        <v>131</v>
      </c>
      <c r="J17" s="228" t="s">
        <v>980</v>
      </c>
      <c r="K17" s="228" t="s">
        <v>1056</v>
      </c>
      <c r="L17" s="229" t="s">
        <v>982</v>
      </c>
      <c r="M17" s="228">
        <v>4</v>
      </c>
      <c r="N17" s="229" t="s">
        <v>1057</v>
      </c>
      <c r="O17" s="228">
        <v>2</v>
      </c>
      <c r="P17" s="228">
        <v>2</v>
      </c>
      <c r="Q17" s="229" t="s">
        <v>1058</v>
      </c>
      <c r="R17" s="228">
        <v>20</v>
      </c>
      <c r="S17" s="228">
        <v>11</v>
      </c>
      <c r="T17" s="228">
        <v>9</v>
      </c>
      <c r="U17" s="228">
        <v>19</v>
      </c>
      <c r="V17" s="228">
        <v>1</v>
      </c>
      <c r="W17" s="228">
        <v>0</v>
      </c>
      <c r="X17" s="228">
        <v>0</v>
      </c>
    </row>
    <row r="18" spans="1:24" ht="43.5" x14ac:dyDescent="0.35">
      <c r="A18" s="228">
        <v>16</v>
      </c>
      <c r="B18" s="228" t="s">
        <v>1059</v>
      </c>
      <c r="C18" s="228" t="s">
        <v>986</v>
      </c>
      <c r="D18" s="228" t="s">
        <v>1032</v>
      </c>
      <c r="E18" s="229" t="s">
        <v>1060</v>
      </c>
      <c r="F18" s="242" t="s">
        <v>1206</v>
      </c>
      <c r="G18" s="242" t="s">
        <v>1061</v>
      </c>
      <c r="H18" s="228">
        <v>1</v>
      </c>
      <c r="I18" s="229" t="s">
        <v>1028</v>
      </c>
      <c r="J18" s="231" t="s">
        <v>980</v>
      </c>
      <c r="K18" s="233" t="s">
        <v>1062</v>
      </c>
      <c r="L18" s="229" t="s">
        <v>982</v>
      </c>
      <c r="M18" s="228">
        <v>1</v>
      </c>
      <c r="N18" s="229" t="s">
        <v>1063</v>
      </c>
      <c r="O18" s="228">
        <v>1</v>
      </c>
      <c r="P18" s="228">
        <v>0</v>
      </c>
      <c r="Q18" s="229" t="s">
        <v>1040</v>
      </c>
      <c r="R18" s="228">
        <v>8</v>
      </c>
      <c r="S18" s="228">
        <v>0</v>
      </c>
      <c r="T18" s="228">
        <v>8</v>
      </c>
      <c r="U18" s="228">
        <v>7</v>
      </c>
      <c r="V18" s="228">
        <v>1</v>
      </c>
      <c r="W18" s="228">
        <v>0</v>
      </c>
      <c r="X18" s="228">
        <v>0</v>
      </c>
    </row>
    <row r="19" spans="1:24" ht="58" x14ac:dyDescent="0.35">
      <c r="A19" s="229">
        <v>17</v>
      </c>
      <c r="B19" s="228" t="s">
        <v>1064</v>
      </c>
      <c r="C19" s="228" t="s">
        <v>986</v>
      </c>
      <c r="D19" s="228" t="s">
        <v>1032</v>
      </c>
      <c r="E19" s="229" t="s">
        <v>1065</v>
      </c>
      <c r="F19" s="242" t="s">
        <v>152</v>
      </c>
      <c r="G19" s="242" t="s">
        <v>1066</v>
      </c>
      <c r="H19" s="228">
        <v>1</v>
      </c>
      <c r="I19" s="229" t="s">
        <v>1028</v>
      </c>
      <c r="J19" s="228" t="s">
        <v>989</v>
      </c>
      <c r="K19" s="228" t="s">
        <v>1067</v>
      </c>
      <c r="L19" s="229" t="s">
        <v>982</v>
      </c>
      <c r="M19" s="228">
        <v>4</v>
      </c>
      <c r="N19" s="229" t="s">
        <v>1068</v>
      </c>
      <c r="O19" s="228">
        <v>0</v>
      </c>
      <c r="P19" s="228">
        <v>4</v>
      </c>
      <c r="Q19" s="229" t="s">
        <v>1069</v>
      </c>
      <c r="R19" s="228">
        <v>40</v>
      </c>
      <c r="S19" s="228">
        <v>11</v>
      </c>
      <c r="T19" s="228">
        <v>29</v>
      </c>
      <c r="U19" s="228">
        <v>37</v>
      </c>
      <c r="V19" s="228">
        <v>3</v>
      </c>
      <c r="W19" s="228">
        <v>0</v>
      </c>
      <c r="X19" s="228">
        <v>0</v>
      </c>
    </row>
    <row r="20" spans="1:24" ht="43.5" x14ac:dyDescent="0.35">
      <c r="A20" s="229">
        <v>19</v>
      </c>
      <c r="B20" s="228" t="s">
        <v>1070</v>
      </c>
      <c r="C20" s="228" t="s">
        <v>976</v>
      </c>
      <c r="D20" s="228" t="s">
        <v>977</v>
      </c>
      <c r="E20" s="229" t="s">
        <v>1071</v>
      </c>
      <c r="F20" s="242" t="s">
        <v>152</v>
      </c>
      <c r="G20" s="242">
        <v>59416</v>
      </c>
      <c r="H20" s="228">
        <v>1</v>
      </c>
      <c r="I20" s="229" t="s">
        <v>1028</v>
      </c>
      <c r="J20" s="228" t="s">
        <v>989</v>
      </c>
      <c r="K20" s="229" t="s">
        <v>1072</v>
      </c>
      <c r="L20" s="229" t="s">
        <v>1073</v>
      </c>
      <c r="M20" s="228">
        <v>2</v>
      </c>
      <c r="N20" s="229" t="s">
        <v>1074</v>
      </c>
      <c r="O20" s="228">
        <v>0</v>
      </c>
      <c r="P20" s="228">
        <v>2</v>
      </c>
      <c r="Q20" s="229" t="s">
        <v>1015</v>
      </c>
      <c r="R20" s="228">
        <v>20</v>
      </c>
      <c r="S20" s="228">
        <v>8</v>
      </c>
      <c r="T20" s="228">
        <v>12</v>
      </c>
      <c r="U20" s="228">
        <v>20</v>
      </c>
      <c r="V20" s="228">
        <v>0</v>
      </c>
      <c r="W20" s="228">
        <v>20</v>
      </c>
      <c r="X20" s="228">
        <v>0</v>
      </c>
    </row>
    <row r="21" spans="1:24" ht="43.5" x14ac:dyDescent="0.35">
      <c r="A21" s="228">
        <v>20</v>
      </c>
      <c r="B21" s="228" t="s">
        <v>1075</v>
      </c>
      <c r="C21" s="228" t="s">
        <v>1042</v>
      </c>
      <c r="D21" s="228" t="s">
        <v>977</v>
      </c>
      <c r="E21" s="229" t="s">
        <v>1076</v>
      </c>
      <c r="F21" s="242" t="s">
        <v>385</v>
      </c>
      <c r="G21" s="242">
        <v>81042</v>
      </c>
      <c r="H21" s="228">
        <v>1</v>
      </c>
      <c r="I21" s="229" t="s">
        <v>1028</v>
      </c>
      <c r="J21" s="228" t="s">
        <v>989</v>
      </c>
      <c r="K21" s="228" t="s">
        <v>1044</v>
      </c>
      <c r="L21" s="229" t="s">
        <v>982</v>
      </c>
      <c r="M21" s="228">
        <v>2</v>
      </c>
      <c r="N21" s="229" t="s">
        <v>1077</v>
      </c>
      <c r="O21" s="231">
        <v>1</v>
      </c>
      <c r="P21" s="228">
        <v>1</v>
      </c>
      <c r="Q21" s="229" t="s">
        <v>1078</v>
      </c>
      <c r="R21" s="228">
        <v>13</v>
      </c>
      <c r="S21" s="228">
        <v>9</v>
      </c>
      <c r="T21" s="228">
        <v>4</v>
      </c>
      <c r="U21" s="228">
        <v>13</v>
      </c>
      <c r="V21" s="228">
        <v>0</v>
      </c>
      <c r="W21" s="228">
        <v>1</v>
      </c>
      <c r="X21" s="228">
        <v>12</v>
      </c>
    </row>
    <row r="22" spans="1:24" ht="43.5" x14ac:dyDescent="0.35">
      <c r="A22" s="229">
        <v>21</v>
      </c>
      <c r="B22" s="228" t="s">
        <v>1079</v>
      </c>
      <c r="C22" s="228" t="s">
        <v>986</v>
      </c>
      <c r="D22" s="228" t="s">
        <v>977</v>
      </c>
      <c r="E22" s="229" t="s">
        <v>1076</v>
      </c>
      <c r="F22" s="242" t="s">
        <v>152</v>
      </c>
      <c r="G22" s="242">
        <v>59416</v>
      </c>
      <c r="H22" s="228">
        <v>1</v>
      </c>
      <c r="I22" s="229" t="s">
        <v>1028</v>
      </c>
      <c r="J22" s="230" t="s">
        <v>989</v>
      </c>
      <c r="K22" s="228" t="s">
        <v>1080</v>
      </c>
      <c r="L22" s="229" t="s">
        <v>1073</v>
      </c>
      <c r="M22" s="228">
        <v>1</v>
      </c>
      <c r="N22" s="229" t="s">
        <v>1081</v>
      </c>
      <c r="O22" s="228">
        <v>1</v>
      </c>
      <c r="P22" s="228">
        <v>0</v>
      </c>
      <c r="Q22" s="229" t="s">
        <v>1040</v>
      </c>
      <c r="R22" s="228">
        <v>22</v>
      </c>
      <c r="S22" s="228">
        <v>9</v>
      </c>
      <c r="T22" s="228">
        <v>13</v>
      </c>
      <c r="U22" s="228">
        <v>22</v>
      </c>
      <c r="V22" s="228">
        <v>0</v>
      </c>
      <c r="W22" s="228">
        <v>0</v>
      </c>
      <c r="X22" s="228">
        <v>0</v>
      </c>
    </row>
    <row r="23" spans="1:24" ht="58" x14ac:dyDescent="0.35">
      <c r="A23" s="228">
        <v>22</v>
      </c>
      <c r="B23" s="228" t="s">
        <v>1082</v>
      </c>
      <c r="C23" s="228" t="s">
        <v>986</v>
      </c>
      <c r="D23" s="228" t="s">
        <v>1032</v>
      </c>
      <c r="E23" s="229" t="s">
        <v>1076</v>
      </c>
      <c r="F23" s="242" t="s">
        <v>152</v>
      </c>
      <c r="G23" s="242" t="s">
        <v>1083</v>
      </c>
      <c r="H23" s="228">
        <v>1</v>
      </c>
      <c r="I23" s="229" t="s">
        <v>1028</v>
      </c>
      <c r="J23" s="228" t="s">
        <v>980</v>
      </c>
      <c r="K23" s="229" t="s">
        <v>1038</v>
      </c>
      <c r="L23" s="229" t="s">
        <v>982</v>
      </c>
      <c r="M23" s="228">
        <v>2</v>
      </c>
      <c r="N23" s="229" t="s">
        <v>1084</v>
      </c>
      <c r="O23" s="228">
        <v>1</v>
      </c>
      <c r="P23" s="228">
        <v>1</v>
      </c>
      <c r="Q23" s="229" t="s">
        <v>1015</v>
      </c>
      <c r="R23" s="228">
        <v>39</v>
      </c>
      <c r="S23" s="228">
        <v>17</v>
      </c>
      <c r="T23" s="228">
        <v>22</v>
      </c>
      <c r="U23" s="228">
        <v>39</v>
      </c>
      <c r="V23" s="228">
        <v>0</v>
      </c>
      <c r="W23" s="228">
        <v>0</v>
      </c>
      <c r="X23" s="228">
        <v>0</v>
      </c>
    </row>
    <row r="24" spans="1:24" ht="43.5" x14ac:dyDescent="0.35">
      <c r="A24" s="229">
        <v>23</v>
      </c>
      <c r="B24" s="228" t="s">
        <v>1085</v>
      </c>
      <c r="C24" s="228" t="s">
        <v>986</v>
      </c>
      <c r="D24" s="228" t="s">
        <v>977</v>
      </c>
      <c r="E24" s="229" t="s">
        <v>1060</v>
      </c>
      <c r="F24" s="242" t="s">
        <v>99</v>
      </c>
      <c r="G24" s="242">
        <v>86024</v>
      </c>
      <c r="H24" s="228">
        <v>4</v>
      </c>
      <c r="I24" s="229" t="s">
        <v>437</v>
      </c>
      <c r="J24" s="230" t="s">
        <v>989</v>
      </c>
      <c r="K24" s="228" t="s">
        <v>1086</v>
      </c>
      <c r="L24" s="229" t="s">
        <v>982</v>
      </c>
      <c r="M24" s="228">
        <v>2</v>
      </c>
      <c r="N24" s="229" t="s">
        <v>1087</v>
      </c>
      <c r="O24" s="228">
        <v>2</v>
      </c>
      <c r="P24" s="228">
        <v>0</v>
      </c>
      <c r="Q24" s="229" t="s">
        <v>1015</v>
      </c>
      <c r="R24" s="228">
        <v>21</v>
      </c>
      <c r="S24" s="228">
        <v>11</v>
      </c>
      <c r="T24" s="228">
        <v>10</v>
      </c>
      <c r="U24" s="228">
        <v>21</v>
      </c>
      <c r="V24" s="228">
        <v>0</v>
      </c>
      <c r="W24" s="228">
        <v>0</v>
      </c>
      <c r="X24" s="228">
        <v>0</v>
      </c>
    </row>
    <row r="25" spans="1:24" ht="43.5" x14ac:dyDescent="0.35">
      <c r="A25" s="229">
        <v>24</v>
      </c>
      <c r="B25" s="228" t="s">
        <v>1088</v>
      </c>
      <c r="C25" s="228" t="s">
        <v>976</v>
      </c>
      <c r="D25" s="228" t="s">
        <v>977</v>
      </c>
      <c r="E25" s="229" t="s">
        <v>1089</v>
      </c>
      <c r="F25" s="242" t="s">
        <v>181</v>
      </c>
      <c r="G25" s="242">
        <v>24183</v>
      </c>
      <c r="H25" s="228">
        <v>4</v>
      </c>
      <c r="I25" s="229" t="s">
        <v>437</v>
      </c>
      <c r="J25" s="228" t="s">
        <v>989</v>
      </c>
      <c r="K25" s="229" t="s">
        <v>1090</v>
      </c>
      <c r="L25" s="229" t="s">
        <v>1073</v>
      </c>
      <c r="M25" s="228">
        <v>1</v>
      </c>
      <c r="N25" s="229" t="s">
        <v>1024</v>
      </c>
      <c r="O25" s="228">
        <v>1</v>
      </c>
      <c r="P25" s="228">
        <v>0</v>
      </c>
      <c r="Q25" s="229" t="s">
        <v>1091</v>
      </c>
      <c r="R25" s="228">
        <v>5</v>
      </c>
      <c r="S25" s="228">
        <v>1</v>
      </c>
      <c r="T25" s="228">
        <v>4</v>
      </c>
      <c r="U25" s="228">
        <v>5</v>
      </c>
      <c r="V25" s="228">
        <v>0</v>
      </c>
      <c r="W25" s="228">
        <v>5</v>
      </c>
      <c r="X25" s="228">
        <v>0</v>
      </c>
    </row>
    <row r="26" spans="1:24" ht="43.5" x14ac:dyDescent="0.35">
      <c r="A26" s="229">
        <v>25</v>
      </c>
      <c r="B26" s="228" t="s">
        <v>1092</v>
      </c>
      <c r="C26" s="228" t="s">
        <v>986</v>
      </c>
      <c r="D26" s="228" t="s">
        <v>1032</v>
      </c>
      <c r="E26" s="229" t="s">
        <v>1093</v>
      </c>
      <c r="F26" s="242" t="s">
        <v>1205</v>
      </c>
      <c r="G26" s="242" t="s">
        <v>1034</v>
      </c>
      <c r="H26" s="231">
        <v>1</v>
      </c>
      <c r="I26" s="228" t="s">
        <v>1028</v>
      </c>
      <c r="J26" s="228" t="s">
        <v>980</v>
      </c>
      <c r="K26" s="229" t="s">
        <v>1035</v>
      </c>
      <c r="L26" s="229" t="s">
        <v>982</v>
      </c>
      <c r="M26" s="228">
        <v>2</v>
      </c>
      <c r="N26" s="229" t="s">
        <v>1036</v>
      </c>
      <c r="O26" s="228">
        <v>2</v>
      </c>
      <c r="P26" s="228">
        <v>0</v>
      </c>
      <c r="Q26" s="229" t="s">
        <v>1015</v>
      </c>
      <c r="R26" s="228">
        <v>18</v>
      </c>
      <c r="S26" s="228">
        <v>6</v>
      </c>
      <c r="T26" s="228">
        <v>12</v>
      </c>
      <c r="U26" s="228">
        <v>18</v>
      </c>
      <c r="V26" s="228">
        <v>0</v>
      </c>
      <c r="W26" s="228">
        <v>0</v>
      </c>
      <c r="X26" s="228">
        <v>0</v>
      </c>
    </row>
    <row r="27" spans="1:24" ht="43.5" x14ac:dyDescent="0.35">
      <c r="A27" s="228">
        <v>26</v>
      </c>
      <c r="B27" s="228" t="s">
        <v>1094</v>
      </c>
      <c r="C27" s="228" t="s">
        <v>986</v>
      </c>
      <c r="D27" s="228" t="s">
        <v>977</v>
      </c>
      <c r="E27" s="229" t="s">
        <v>1095</v>
      </c>
      <c r="F27" s="242" t="s">
        <v>1205</v>
      </c>
      <c r="G27" s="242" t="s">
        <v>1034</v>
      </c>
      <c r="H27" s="228">
        <v>1</v>
      </c>
      <c r="I27" s="228" t="s">
        <v>1028</v>
      </c>
      <c r="J27" s="228" t="s">
        <v>980</v>
      </c>
      <c r="K27" s="229" t="s">
        <v>1035</v>
      </c>
      <c r="L27" s="229" t="s">
        <v>982</v>
      </c>
      <c r="M27" s="228">
        <v>2</v>
      </c>
      <c r="N27" s="229" t="s">
        <v>1036</v>
      </c>
      <c r="O27" s="228">
        <v>2</v>
      </c>
      <c r="P27" s="228">
        <v>0</v>
      </c>
      <c r="Q27" s="229" t="s">
        <v>1015</v>
      </c>
      <c r="R27" s="228">
        <v>17</v>
      </c>
      <c r="S27" s="228">
        <v>5</v>
      </c>
      <c r="T27" s="228">
        <v>12</v>
      </c>
      <c r="U27" s="228">
        <v>17</v>
      </c>
      <c r="V27" s="228">
        <v>0</v>
      </c>
      <c r="W27" s="228">
        <v>0</v>
      </c>
      <c r="X27" s="228">
        <v>0</v>
      </c>
    </row>
    <row r="28" spans="1:24" ht="43.5" x14ac:dyDescent="0.35">
      <c r="A28" s="234">
        <v>27</v>
      </c>
      <c r="B28" s="234" t="s">
        <v>1096</v>
      </c>
      <c r="C28" s="234" t="s">
        <v>976</v>
      </c>
      <c r="D28" s="234" t="s">
        <v>977</v>
      </c>
      <c r="E28" s="235" t="s">
        <v>1097</v>
      </c>
      <c r="F28" s="243" t="s">
        <v>712</v>
      </c>
      <c r="G28" s="243">
        <v>88415</v>
      </c>
      <c r="H28" s="234">
        <v>3</v>
      </c>
      <c r="I28" s="235" t="s">
        <v>1098</v>
      </c>
      <c r="J28" s="236" t="s">
        <v>980</v>
      </c>
      <c r="K28" s="237" t="s">
        <v>1099</v>
      </c>
      <c r="L28" s="235" t="s">
        <v>1100</v>
      </c>
      <c r="M28" s="234">
        <v>3</v>
      </c>
      <c r="N28" s="235" t="s">
        <v>1101</v>
      </c>
      <c r="O28" s="234">
        <v>2</v>
      </c>
      <c r="P28" s="234">
        <v>1</v>
      </c>
      <c r="Q28" s="235" t="s">
        <v>1102</v>
      </c>
      <c r="R28" s="234">
        <v>8</v>
      </c>
      <c r="S28" s="234">
        <v>3</v>
      </c>
      <c r="T28" s="234">
        <v>5</v>
      </c>
      <c r="U28" s="234">
        <v>7</v>
      </c>
      <c r="V28" s="234">
        <v>1</v>
      </c>
      <c r="W28" s="234">
        <v>8</v>
      </c>
      <c r="X28" s="234">
        <v>0</v>
      </c>
    </row>
    <row r="29" spans="1:24" ht="43.5" x14ac:dyDescent="0.35">
      <c r="A29" s="228">
        <v>28</v>
      </c>
      <c r="B29" s="228" t="s">
        <v>1103</v>
      </c>
      <c r="C29" s="228" t="s">
        <v>986</v>
      </c>
      <c r="D29" s="228" t="s">
        <v>977</v>
      </c>
      <c r="E29" s="229" t="s">
        <v>1065</v>
      </c>
      <c r="F29" s="242" t="s">
        <v>712</v>
      </c>
      <c r="G29" s="242">
        <v>88415</v>
      </c>
      <c r="H29" s="228">
        <v>3</v>
      </c>
      <c r="I29" s="229" t="s">
        <v>1098</v>
      </c>
      <c r="J29" s="231" t="s">
        <v>989</v>
      </c>
      <c r="K29" s="228" t="s">
        <v>1104</v>
      </c>
      <c r="L29" s="229" t="s">
        <v>982</v>
      </c>
      <c r="M29" s="228">
        <v>2</v>
      </c>
      <c r="N29" s="229" t="s">
        <v>1105</v>
      </c>
      <c r="O29" s="228">
        <v>1</v>
      </c>
      <c r="P29" s="228">
        <v>1</v>
      </c>
      <c r="Q29" s="229" t="s">
        <v>1015</v>
      </c>
      <c r="R29" s="228">
        <v>23</v>
      </c>
      <c r="S29" s="228">
        <v>9</v>
      </c>
      <c r="T29" s="228">
        <v>14</v>
      </c>
      <c r="U29" s="228">
        <v>23</v>
      </c>
      <c r="V29" s="228">
        <v>0</v>
      </c>
      <c r="W29" s="228">
        <v>0</v>
      </c>
      <c r="X29" s="228">
        <v>0</v>
      </c>
    </row>
    <row r="30" spans="1:24" ht="72.5" x14ac:dyDescent="0.35">
      <c r="A30" s="228">
        <v>29</v>
      </c>
      <c r="B30" s="228" t="s">
        <v>1106</v>
      </c>
      <c r="C30" s="228" t="s">
        <v>986</v>
      </c>
      <c r="D30" s="228" t="s">
        <v>977</v>
      </c>
      <c r="E30" s="229" t="s">
        <v>1060</v>
      </c>
      <c r="F30" s="242" t="s">
        <v>737</v>
      </c>
      <c r="G30" s="242">
        <v>69164</v>
      </c>
      <c r="H30" s="228">
        <v>5</v>
      </c>
      <c r="I30" s="229" t="s">
        <v>461</v>
      </c>
      <c r="J30" s="228" t="s">
        <v>989</v>
      </c>
      <c r="K30" s="228" t="s">
        <v>1107</v>
      </c>
      <c r="L30" s="229" t="s">
        <v>1108</v>
      </c>
      <c r="M30" s="228">
        <v>5</v>
      </c>
      <c r="N30" s="229" t="s">
        <v>1109</v>
      </c>
      <c r="O30" s="228">
        <v>1</v>
      </c>
      <c r="P30" s="228">
        <v>4</v>
      </c>
      <c r="Q30" s="229" t="s">
        <v>1110</v>
      </c>
      <c r="R30" s="228">
        <v>16</v>
      </c>
      <c r="S30" s="228">
        <v>10</v>
      </c>
      <c r="T30" s="228">
        <v>6</v>
      </c>
      <c r="U30" s="228">
        <v>16</v>
      </c>
      <c r="V30" s="228">
        <v>0</v>
      </c>
      <c r="W30" s="228">
        <v>0</v>
      </c>
      <c r="X30" s="228">
        <v>0</v>
      </c>
    </row>
    <row r="31" spans="1:24" ht="29" x14ac:dyDescent="0.35">
      <c r="A31" s="228">
        <v>30</v>
      </c>
      <c r="B31" s="228" t="s">
        <v>1111</v>
      </c>
      <c r="C31" s="228" t="s">
        <v>986</v>
      </c>
      <c r="D31" s="228" t="s">
        <v>977</v>
      </c>
      <c r="E31" s="229" t="s">
        <v>1112</v>
      </c>
      <c r="F31" s="242" t="s">
        <v>506</v>
      </c>
      <c r="G31" s="242" t="s">
        <v>1113</v>
      </c>
      <c r="H31" s="228">
        <v>4</v>
      </c>
      <c r="I31" s="229" t="s">
        <v>52</v>
      </c>
      <c r="J31" s="228" t="s">
        <v>989</v>
      </c>
      <c r="K31" s="228" t="s">
        <v>1114</v>
      </c>
      <c r="L31" s="229" t="s">
        <v>982</v>
      </c>
      <c r="M31" s="228">
        <v>1</v>
      </c>
      <c r="N31" s="229" t="s">
        <v>1115</v>
      </c>
      <c r="O31" s="228">
        <v>1</v>
      </c>
      <c r="P31" s="228">
        <v>0</v>
      </c>
      <c r="Q31" s="229" t="s">
        <v>1040</v>
      </c>
      <c r="R31" s="228">
        <v>13</v>
      </c>
      <c r="S31" s="228">
        <v>7</v>
      </c>
      <c r="T31" s="228">
        <v>6</v>
      </c>
      <c r="U31" s="228">
        <v>13</v>
      </c>
      <c r="V31" s="228">
        <v>0</v>
      </c>
      <c r="W31" s="228">
        <v>0</v>
      </c>
      <c r="X31" s="228">
        <v>0</v>
      </c>
    </row>
    <row r="32" spans="1:24" ht="58" x14ac:dyDescent="0.35">
      <c r="A32" s="228">
        <v>31</v>
      </c>
      <c r="B32" s="228" t="s">
        <v>1116</v>
      </c>
      <c r="C32" s="228" t="s">
        <v>986</v>
      </c>
      <c r="D32" s="228" t="s">
        <v>977</v>
      </c>
      <c r="E32" s="229" t="s">
        <v>1065</v>
      </c>
      <c r="F32" s="242" t="s">
        <v>204</v>
      </c>
      <c r="G32" s="242" t="s">
        <v>1117</v>
      </c>
      <c r="H32" s="228">
        <v>6</v>
      </c>
      <c r="I32" s="229" t="s">
        <v>43</v>
      </c>
      <c r="J32" s="228" t="s">
        <v>989</v>
      </c>
      <c r="K32" s="228" t="s">
        <v>1118</v>
      </c>
      <c r="L32" s="229" t="s">
        <v>1119</v>
      </c>
      <c r="M32" s="228">
        <v>1</v>
      </c>
      <c r="N32" s="229" t="s">
        <v>1120</v>
      </c>
      <c r="O32" s="228">
        <v>1</v>
      </c>
      <c r="P32" s="228">
        <v>0</v>
      </c>
      <c r="Q32" s="229" t="s">
        <v>1040</v>
      </c>
      <c r="R32" s="228">
        <v>13</v>
      </c>
      <c r="S32" s="228">
        <v>4</v>
      </c>
      <c r="T32" s="228">
        <v>9</v>
      </c>
      <c r="U32" s="228">
        <v>13</v>
      </c>
      <c r="V32" s="228">
        <v>0</v>
      </c>
      <c r="W32" s="228">
        <v>0</v>
      </c>
      <c r="X32" s="228">
        <v>0</v>
      </c>
    </row>
    <row r="33" spans="1:24" ht="58" x14ac:dyDescent="0.35">
      <c r="A33" s="234">
        <v>33</v>
      </c>
      <c r="B33" s="234" t="s">
        <v>1121</v>
      </c>
      <c r="C33" s="234" t="s">
        <v>1042</v>
      </c>
      <c r="D33" s="234" t="s">
        <v>977</v>
      </c>
      <c r="E33" s="235" t="s">
        <v>1065</v>
      </c>
      <c r="F33" s="243" t="s">
        <v>204</v>
      </c>
      <c r="G33" s="242" t="s">
        <v>1117</v>
      </c>
      <c r="H33" s="228">
        <v>6</v>
      </c>
      <c r="I33" s="229" t="s">
        <v>43</v>
      </c>
      <c r="J33" s="228" t="s">
        <v>980</v>
      </c>
      <c r="K33" s="228" t="s">
        <v>1122</v>
      </c>
      <c r="L33" s="229" t="s">
        <v>982</v>
      </c>
      <c r="M33" s="228">
        <v>1</v>
      </c>
      <c r="N33" s="228" t="s">
        <v>1123</v>
      </c>
      <c r="O33" s="228">
        <v>1</v>
      </c>
      <c r="P33" s="228">
        <v>0</v>
      </c>
      <c r="Q33" s="228" t="s">
        <v>1124</v>
      </c>
      <c r="R33" s="228">
        <v>11</v>
      </c>
      <c r="S33" s="228">
        <v>4</v>
      </c>
      <c r="T33" s="228">
        <v>7</v>
      </c>
      <c r="U33" s="228">
        <v>11</v>
      </c>
      <c r="V33" s="228">
        <v>0</v>
      </c>
      <c r="W33" s="228">
        <v>1</v>
      </c>
      <c r="X33" s="228">
        <v>10</v>
      </c>
    </row>
    <row r="34" spans="1:24" ht="43.5" x14ac:dyDescent="0.35">
      <c r="A34" s="228">
        <v>34</v>
      </c>
      <c r="B34" s="228" t="s">
        <v>1125</v>
      </c>
      <c r="C34" s="228" t="s">
        <v>976</v>
      </c>
      <c r="D34" s="228" t="s">
        <v>1032</v>
      </c>
      <c r="E34" s="229" t="s">
        <v>1126</v>
      </c>
      <c r="F34" s="242" t="s">
        <v>204</v>
      </c>
      <c r="G34" s="242" t="s">
        <v>1127</v>
      </c>
      <c r="H34" s="228">
        <v>6</v>
      </c>
      <c r="I34" s="229" t="s">
        <v>43</v>
      </c>
      <c r="J34" s="228" t="s">
        <v>980</v>
      </c>
      <c r="K34" s="228" t="s">
        <v>1128</v>
      </c>
      <c r="L34" s="229" t="s">
        <v>1129</v>
      </c>
      <c r="M34" s="228">
        <v>1</v>
      </c>
      <c r="N34" s="229" t="s">
        <v>1122</v>
      </c>
      <c r="O34" s="228">
        <v>0</v>
      </c>
      <c r="P34" s="228">
        <v>1</v>
      </c>
      <c r="Q34" s="229" t="s">
        <v>982</v>
      </c>
      <c r="R34" s="228">
        <v>11</v>
      </c>
      <c r="S34" s="228">
        <v>2</v>
      </c>
      <c r="T34" s="228">
        <v>9</v>
      </c>
      <c r="U34" s="228">
        <v>10</v>
      </c>
      <c r="V34" s="228">
        <v>1</v>
      </c>
      <c r="W34" s="228">
        <v>11</v>
      </c>
      <c r="X34" s="228">
        <v>0</v>
      </c>
    </row>
    <row r="35" spans="1:24" ht="43.5" x14ac:dyDescent="0.35">
      <c r="A35" s="228">
        <v>35</v>
      </c>
      <c r="B35" s="228" t="s">
        <v>1130</v>
      </c>
      <c r="C35" s="228" t="s">
        <v>976</v>
      </c>
      <c r="D35" s="228" t="s">
        <v>977</v>
      </c>
      <c r="E35" s="229" t="s">
        <v>1131</v>
      </c>
      <c r="F35" s="242" t="s">
        <v>402</v>
      </c>
      <c r="G35" s="242" t="s">
        <v>1132</v>
      </c>
      <c r="H35" s="228">
        <v>4</v>
      </c>
      <c r="I35" s="229" t="s">
        <v>52</v>
      </c>
      <c r="J35" s="228" t="s">
        <v>980</v>
      </c>
      <c r="K35" s="228" t="s">
        <v>1133</v>
      </c>
      <c r="L35" s="229" t="s">
        <v>982</v>
      </c>
      <c r="M35" s="228">
        <v>2</v>
      </c>
      <c r="N35" s="229" t="s">
        <v>1134</v>
      </c>
      <c r="O35" s="230">
        <v>1</v>
      </c>
      <c r="P35" s="228">
        <v>1</v>
      </c>
      <c r="Q35" s="229" t="s">
        <v>1015</v>
      </c>
      <c r="R35" s="228">
        <v>11</v>
      </c>
      <c r="S35" s="228">
        <v>4</v>
      </c>
      <c r="T35" s="228">
        <v>7</v>
      </c>
      <c r="U35" s="228">
        <v>11</v>
      </c>
      <c r="V35" s="228">
        <v>0</v>
      </c>
      <c r="W35" s="228">
        <v>11</v>
      </c>
      <c r="X35" s="228">
        <v>0</v>
      </c>
    </row>
    <row r="36" spans="1:24" ht="43.5" x14ac:dyDescent="0.35">
      <c r="A36" s="228">
        <v>36</v>
      </c>
      <c r="B36" s="229" t="s">
        <v>1135</v>
      </c>
      <c r="C36" s="228" t="s">
        <v>1042</v>
      </c>
      <c r="D36" s="228" t="s">
        <v>977</v>
      </c>
      <c r="E36" s="229" t="s">
        <v>1136</v>
      </c>
      <c r="F36" s="242" t="s">
        <v>385</v>
      </c>
      <c r="G36" s="242">
        <v>81042</v>
      </c>
      <c r="H36" s="228">
        <v>4</v>
      </c>
      <c r="I36" s="229" t="s">
        <v>52</v>
      </c>
      <c r="J36" s="228" t="s">
        <v>989</v>
      </c>
      <c r="K36" s="228" t="s">
        <v>1018</v>
      </c>
      <c r="L36" s="229" t="s">
        <v>982</v>
      </c>
      <c r="M36" s="228">
        <v>3</v>
      </c>
      <c r="N36" s="229" t="s">
        <v>1137</v>
      </c>
      <c r="O36" s="228">
        <v>2</v>
      </c>
      <c r="P36" s="228">
        <v>1</v>
      </c>
      <c r="Q36" s="229" t="s">
        <v>984</v>
      </c>
      <c r="R36" s="228">
        <v>12</v>
      </c>
      <c r="S36" s="228">
        <v>6</v>
      </c>
      <c r="T36" s="228">
        <v>5</v>
      </c>
      <c r="U36" s="228">
        <v>12</v>
      </c>
      <c r="V36" s="228">
        <v>0</v>
      </c>
      <c r="W36" s="228">
        <v>0</v>
      </c>
      <c r="X36" s="228">
        <v>12</v>
      </c>
    </row>
    <row r="37" spans="1:24" ht="43.5" x14ac:dyDescent="0.35">
      <c r="A37" s="228">
        <v>37</v>
      </c>
      <c r="B37" s="228" t="s">
        <v>1138</v>
      </c>
      <c r="C37" s="228" t="s">
        <v>986</v>
      </c>
      <c r="D37" s="228" t="s">
        <v>977</v>
      </c>
      <c r="E37" s="229" t="s">
        <v>1136</v>
      </c>
      <c r="F37" s="242" t="s">
        <v>385</v>
      </c>
      <c r="G37" s="242">
        <v>81201</v>
      </c>
      <c r="H37" s="228">
        <v>4</v>
      </c>
      <c r="I37" s="229" t="s">
        <v>52</v>
      </c>
      <c r="J37" s="228" t="s">
        <v>989</v>
      </c>
      <c r="K37" s="228" t="s">
        <v>1139</v>
      </c>
      <c r="L37" s="229" t="s">
        <v>982</v>
      </c>
      <c r="M37" s="228">
        <v>3</v>
      </c>
      <c r="N37" s="229" t="s">
        <v>1140</v>
      </c>
      <c r="O37" s="228">
        <v>2</v>
      </c>
      <c r="P37" s="228">
        <v>1</v>
      </c>
      <c r="Q37" s="229" t="s">
        <v>984</v>
      </c>
      <c r="R37" s="228">
        <v>9</v>
      </c>
      <c r="S37" s="228">
        <v>6</v>
      </c>
      <c r="T37" s="228">
        <v>3</v>
      </c>
      <c r="U37" s="228">
        <v>8</v>
      </c>
      <c r="V37" s="228">
        <v>1</v>
      </c>
      <c r="W37" s="228">
        <v>0</v>
      </c>
      <c r="X37" s="228">
        <v>0</v>
      </c>
    </row>
    <row r="38" spans="1:24" ht="58" x14ac:dyDescent="0.35">
      <c r="A38" s="229">
        <v>39</v>
      </c>
      <c r="B38" s="228" t="s">
        <v>1141</v>
      </c>
      <c r="C38" s="228" t="s">
        <v>986</v>
      </c>
      <c r="D38" s="228" t="s">
        <v>977</v>
      </c>
      <c r="E38" s="229" t="s">
        <v>1142</v>
      </c>
      <c r="F38" s="242" t="s">
        <v>1207</v>
      </c>
      <c r="G38" s="242">
        <v>13001</v>
      </c>
      <c r="H38" s="228">
        <v>6</v>
      </c>
      <c r="I38" s="229" t="s">
        <v>246</v>
      </c>
      <c r="J38" s="228" t="s">
        <v>980</v>
      </c>
      <c r="K38" s="228" t="s">
        <v>1013</v>
      </c>
      <c r="L38" s="229" t="s">
        <v>982</v>
      </c>
      <c r="M38" s="228">
        <v>4</v>
      </c>
      <c r="N38" s="229" t="s">
        <v>1143</v>
      </c>
      <c r="O38" s="228">
        <v>3</v>
      </c>
      <c r="P38" s="228">
        <v>1</v>
      </c>
      <c r="Q38" s="229" t="s">
        <v>1144</v>
      </c>
      <c r="R38" s="228">
        <v>10</v>
      </c>
      <c r="S38" s="228">
        <v>7</v>
      </c>
      <c r="T38" s="228">
        <v>3</v>
      </c>
      <c r="U38" s="228">
        <v>10</v>
      </c>
      <c r="V38" s="228">
        <v>0</v>
      </c>
      <c r="W38" s="228">
        <v>0</v>
      </c>
      <c r="X38" s="228">
        <v>0</v>
      </c>
    </row>
    <row r="39" spans="1:24" ht="43.5" x14ac:dyDescent="0.35">
      <c r="A39" s="228">
        <v>41</v>
      </c>
      <c r="B39" s="228" t="s">
        <v>1145</v>
      </c>
      <c r="C39" s="228" t="s">
        <v>986</v>
      </c>
      <c r="D39" s="228" t="s">
        <v>977</v>
      </c>
      <c r="E39" s="238" t="s">
        <v>1146</v>
      </c>
      <c r="F39" s="242" t="s">
        <v>152</v>
      </c>
      <c r="G39" s="242">
        <v>59416</v>
      </c>
      <c r="H39" s="228">
        <v>1</v>
      </c>
      <c r="I39" s="229" t="s">
        <v>1028</v>
      </c>
      <c r="J39" s="228" t="s">
        <v>989</v>
      </c>
      <c r="K39" s="228" t="s">
        <v>1049</v>
      </c>
      <c r="L39" s="229" t="s">
        <v>982</v>
      </c>
      <c r="M39" s="228">
        <v>2</v>
      </c>
      <c r="N39" s="229" t="s">
        <v>1147</v>
      </c>
      <c r="O39" s="228">
        <v>0</v>
      </c>
      <c r="P39" s="228">
        <v>2</v>
      </c>
      <c r="Q39" s="229" t="s">
        <v>1015</v>
      </c>
      <c r="R39" s="228">
        <v>16</v>
      </c>
      <c r="S39" s="228">
        <v>7</v>
      </c>
      <c r="T39" s="228">
        <v>9</v>
      </c>
      <c r="U39" s="228">
        <v>16</v>
      </c>
      <c r="V39" s="228">
        <v>0</v>
      </c>
      <c r="W39" s="228">
        <v>0</v>
      </c>
      <c r="X39" s="228">
        <v>0</v>
      </c>
    </row>
    <row r="40" spans="1:24" ht="43.5" x14ac:dyDescent="0.35">
      <c r="A40" s="228">
        <v>42</v>
      </c>
      <c r="B40" s="228" t="s">
        <v>1148</v>
      </c>
      <c r="C40" s="228" t="s">
        <v>976</v>
      </c>
      <c r="D40" s="228" t="s">
        <v>977</v>
      </c>
      <c r="E40" s="238" t="s">
        <v>1149</v>
      </c>
      <c r="F40" s="242" t="s">
        <v>152</v>
      </c>
      <c r="G40" s="242" t="s">
        <v>1150</v>
      </c>
      <c r="H40" s="228">
        <v>1</v>
      </c>
      <c r="I40" s="229" t="s">
        <v>1028</v>
      </c>
      <c r="J40" s="228" t="s">
        <v>989</v>
      </c>
      <c r="K40" s="228" t="s">
        <v>1067</v>
      </c>
      <c r="L40" s="229" t="s">
        <v>982</v>
      </c>
      <c r="M40" s="228">
        <v>1</v>
      </c>
      <c r="N40" s="229" t="s">
        <v>1151</v>
      </c>
      <c r="O40" s="228">
        <v>0</v>
      </c>
      <c r="P40" s="228">
        <v>1</v>
      </c>
      <c r="Q40" s="229" t="s">
        <v>1015</v>
      </c>
      <c r="R40" s="228">
        <v>8</v>
      </c>
      <c r="S40" s="228">
        <v>2</v>
      </c>
      <c r="T40" s="228">
        <v>6</v>
      </c>
      <c r="U40" s="228">
        <v>8</v>
      </c>
      <c r="V40" s="228">
        <v>0</v>
      </c>
      <c r="W40" s="228">
        <v>8</v>
      </c>
      <c r="X40" s="228">
        <v>0</v>
      </c>
    </row>
    <row r="41" spans="1:24" ht="43.5" x14ac:dyDescent="0.35">
      <c r="A41" s="229">
        <v>43</v>
      </c>
      <c r="B41" s="228" t="s">
        <v>1152</v>
      </c>
      <c r="C41" s="228" t="s">
        <v>986</v>
      </c>
      <c r="D41" s="228" t="s">
        <v>977</v>
      </c>
      <c r="E41" s="229" t="s">
        <v>1146</v>
      </c>
      <c r="F41" s="242" t="s">
        <v>703</v>
      </c>
      <c r="G41" s="242" t="s">
        <v>1153</v>
      </c>
      <c r="H41" s="228">
        <v>3</v>
      </c>
      <c r="I41" s="229" t="s">
        <v>1098</v>
      </c>
      <c r="J41" s="228" t="s">
        <v>989</v>
      </c>
      <c r="K41" s="228" t="s">
        <v>1002</v>
      </c>
      <c r="L41" s="229" t="s">
        <v>1154</v>
      </c>
      <c r="M41" s="228">
        <v>3</v>
      </c>
      <c r="N41" s="229" t="s">
        <v>1155</v>
      </c>
      <c r="O41" s="228">
        <v>3</v>
      </c>
      <c r="P41" s="228">
        <v>0</v>
      </c>
      <c r="Q41" s="229" t="s">
        <v>984</v>
      </c>
      <c r="R41" s="228">
        <v>12</v>
      </c>
      <c r="S41" s="228">
        <v>2</v>
      </c>
      <c r="T41" s="228">
        <v>10</v>
      </c>
      <c r="U41" s="228">
        <v>12</v>
      </c>
      <c r="V41" s="228">
        <v>0</v>
      </c>
      <c r="W41" s="228">
        <v>0</v>
      </c>
      <c r="X41" s="228">
        <v>0</v>
      </c>
    </row>
    <row r="42" spans="1:24" ht="43.5" x14ac:dyDescent="0.35">
      <c r="A42" s="229">
        <v>44</v>
      </c>
      <c r="B42" s="228" t="s">
        <v>1156</v>
      </c>
      <c r="C42" s="228" t="s">
        <v>976</v>
      </c>
      <c r="D42" s="228" t="s">
        <v>977</v>
      </c>
      <c r="E42" s="229" t="s">
        <v>1157</v>
      </c>
      <c r="F42" s="242" t="s">
        <v>108</v>
      </c>
      <c r="G42" s="242">
        <v>63463</v>
      </c>
      <c r="H42" s="228">
        <v>5</v>
      </c>
      <c r="I42" s="229" t="s">
        <v>1001</v>
      </c>
      <c r="J42" s="230" t="s">
        <v>980</v>
      </c>
      <c r="K42" s="228" t="s">
        <v>1158</v>
      </c>
      <c r="L42" s="229" t="s">
        <v>982</v>
      </c>
      <c r="M42" s="228">
        <v>2</v>
      </c>
      <c r="N42" s="229" t="s">
        <v>1159</v>
      </c>
      <c r="O42" s="228">
        <v>1</v>
      </c>
      <c r="P42" s="228">
        <v>1</v>
      </c>
      <c r="Q42" s="229" t="s">
        <v>1160</v>
      </c>
      <c r="R42" s="228">
        <v>10</v>
      </c>
      <c r="S42" s="228">
        <v>2</v>
      </c>
      <c r="T42" s="228">
        <v>8</v>
      </c>
      <c r="U42" s="228">
        <v>10</v>
      </c>
      <c r="V42" s="228">
        <v>0</v>
      </c>
      <c r="W42" s="228">
        <v>10</v>
      </c>
      <c r="X42" s="228">
        <v>0</v>
      </c>
    </row>
    <row r="43" spans="1:24" ht="43.5" x14ac:dyDescent="0.35">
      <c r="A43" s="228">
        <v>45</v>
      </c>
      <c r="B43" s="228" t="s">
        <v>1161</v>
      </c>
      <c r="C43" s="228" t="s">
        <v>986</v>
      </c>
      <c r="D43" s="228" t="s">
        <v>977</v>
      </c>
      <c r="E43" s="229" t="s">
        <v>1162</v>
      </c>
      <c r="F43" s="242" t="s">
        <v>130</v>
      </c>
      <c r="G43" s="242">
        <v>56162</v>
      </c>
      <c r="H43" s="228">
        <v>2</v>
      </c>
      <c r="I43" s="229" t="s">
        <v>131</v>
      </c>
      <c r="J43" s="228" t="s">
        <v>989</v>
      </c>
      <c r="K43" s="228" t="s">
        <v>1163</v>
      </c>
      <c r="L43" s="229" t="s">
        <v>1164</v>
      </c>
      <c r="M43" s="228">
        <v>3</v>
      </c>
      <c r="N43" s="229" t="s">
        <v>1165</v>
      </c>
      <c r="O43" s="228">
        <v>1</v>
      </c>
      <c r="P43" s="228">
        <v>2</v>
      </c>
      <c r="Q43" s="229" t="s">
        <v>1166</v>
      </c>
      <c r="R43" s="228">
        <v>12</v>
      </c>
      <c r="S43" s="228">
        <v>8</v>
      </c>
      <c r="T43" s="228">
        <v>4</v>
      </c>
      <c r="U43" s="228">
        <v>12</v>
      </c>
      <c r="V43" s="228"/>
      <c r="W43" s="228"/>
      <c r="X43" s="228"/>
    </row>
    <row r="44" spans="1:24" ht="43.5" x14ac:dyDescent="0.35">
      <c r="A44" s="234">
        <v>50</v>
      </c>
      <c r="B44" s="234" t="s">
        <v>1167</v>
      </c>
      <c r="C44" s="234" t="s">
        <v>976</v>
      </c>
      <c r="D44" s="234" t="s">
        <v>1032</v>
      </c>
      <c r="E44" s="235" t="s">
        <v>1168</v>
      </c>
      <c r="F44" s="243" t="s">
        <v>152</v>
      </c>
      <c r="G44" s="243">
        <v>59416</v>
      </c>
      <c r="H44" s="234">
        <v>1</v>
      </c>
      <c r="I44" s="235" t="s">
        <v>1028</v>
      </c>
      <c r="J44" s="234" t="s">
        <v>989</v>
      </c>
      <c r="K44" s="235" t="s">
        <v>1044</v>
      </c>
      <c r="L44" s="235" t="s">
        <v>982</v>
      </c>
      <c r="M44" s="234">
        <v>2</v>
      </c>
      <c r="N44" s="235" t="s">
        <v>1169</v>
      </c>
      <c r="O44" s="234">
        <v>0</v>
      </c>
      <c r="P44" s="234">
        <v>2</v>
      </c>
      <c r="Q44" s="235" t="s">
        <v>1015</v>
      </c>
      <c r="R44" s="234">
        <v>30</v>
      </c>
      <c r="S44" s="234">
        <v>8</v>
      </c>
      <c r="T44" s="234">
        <v>22</v>
      </c>
      <c r="U44" s="234">
        <v>30</v>
      </c>
      <c r="V44" s="234"/>
      <c r="W44" s="234">
        <v>30</v>
      </c>
      <c r="X44" s="234"/>
    </row>
    <row r="45" spans="1:24" ht="58" x14ac:dyDescent="0.35">
      <c r="A45" s="234">
        <v>51</v>
      </c>
      <c r="B45" s="234" t="s">
        <v>1170</v>
      </c>
      <c r="C45" s="234" t="s">
        <v>976</v>
      </c>
      <c r="D45" s="234" t="s">
        <v>1032</v>
      </c>
      <c r="E45" s="235" t="s">
        <v>1168</v>
      </c>
      <c r="F45" s="243" t="s">
        <v>152</v>
      </c>
      <c r="G45" s="243" t="s">
        <v>1171</v>
      </c>
      <c r="H45" s="234">
        <v>1</v>
      </c>
      <c r="I45" s="235" t="s">
        <v>1028</v>
      </c>
      <c r="J45" s="234" t="s">
        <v>989</v>
      </c>
      <c r="K45" s="234" t="s">
        <v>1067</v>
      </c>
      <c r="L45" s="235" t="s">
        <v>982</v>
      </c>
      <c r="M45" s="234">
        <v>3</v>
      </c>
      <c r="N45" s="235" t="s">
        <v>1172</v>
      </c>
      <c r="O45" s="234">
        <v>0</v>
      </c>
      <c r="P45" s="234">
        <v>3</v>
      </c>
      <c r="Q45" s="235" t="s">
        <v>1166</v>
      </c>
      <c r="R45" s="234">
        <v>30</v>
      </c>
      <c r="S45" s="234">
        <v>9</v>
      </c>
      <c r="T45" s="234">
        <v>21</v>
      </c>
      <c r="U45" s="234">
        <v>30</v>
      </c>
      <c r="V45" s="234"/>
      <c r="W45" s="234">
        <v>30</v>
      </c>
      <c r="X45" s="234"/>
    </row>
    <row r="46" spans="1:24" ht="43.5" x14ac:dyDescent="0.35">
      <c r="A46" s="234">
        <v>52</v>
      </c>
      <c r="B46" s="234" t="s">
        <v>1173</v>
      </c>
      <c r="C46" s="234" t="s">
        <v>986</v>
      </c>
      <c r="D46" s="234" t="s">
        <v>977</v>
      </c>
      <c r="E46" s="239" t="s">
        <v>1174</v>
      </c>
      <c r="F46" s="243" t="s">
        <v>152</v>
      </c>
      <c r="G46" s="243">
        <v>59416</v>
      </c>
      <c r="H46" s="234">
        <v>1</v>
      </c>
      <c r="I46" s="235" t="s">
        <v>1028</v>
      </c>
      <c r="J46" s="234" t="s">
        <v>980</v>
      </c>
      <c r="K46" s="234" t="s">
        <v>1038</v>
      </c>
      <c r="L46" s="235" t="s">
        <v>982</v>
      </c>
      <c r="M46" s="234">
        <v>2</v>
      </c>
      <c r="N46" s="235" t="s">
        <v>1175</v>
      </c>
      <c r="O46" s="234">
        <v>2</v>
      </c>
      <c r="P46" s="234">
        <v>0</v>
      </c>
      <c r="Q46" s="235" t="s">
        <v>1015</v>
      </c>
      <c r="R46" s="234">
        <v>25</v>
      </c>
      <c r="S46" s="234">
        <v>9</v>
      </c>
      <c r="T46" s="234">
        <v>16</v>
      </c>
      <c r="U46" s="234">
        <v>25</v>
      </c>
      <c r="V46" s="234"/>
      <c r="W46" s="234"/>
      <c r="X46" s="234"/>
    </row>
    <row r="47" spans="1:24" ht="58" x14ac:dyDescent="0.35">
      <c r="A47" s="234">
        <v>53</v>
      </c>
      <c r="B47" s="234" t="s">
        <v>1176</v>
      </c>
      <c r="C47" s="234" t="s">
        <v>986</v>
      </c>
      <c r="D47" s="234" t="s">
        <v>1032</v>
      </c>
      <c r="E47" s="239" t="s">
        <v>1174</v>
      </c>
      <c r="F47" s="243" t="s">
        <v>152</v>
      </c>
      <c r="G47" s="243" t="s">
        <v>1171</v>
      </c>
      <c r="H47" s="234">
        <v>1</v>
      </c>
      <c r="I47" s="235" t="s">
        <v>1028</v>
      </c>
      <c r="J47" s="234" t="s">
        <v>980</v>
      </c>
      <c r="K47" s="234" t="s">
        <v>1177</v>
      </c>
      <c r="L47" s="235" t="s">
        <v>982</v>
      </c>
      <c r="M47" s="234">
        <v>4</v>
      </c>
      <c r="N47" s="235" t="s">
        <v>1178</v>
      </c>
      <c r="O47" s="234">
        <v>2</v>
      </c>
      <c r="P47" s="234">
        <v>2</v>
      </c>
      <c r="Q47" s="235" t="s">
        <v>1069</v>
      </c>
      <c r="R47" s="234">
        <v>38</v>
      </c>
      <c r="S47" s="234">
        <v>13</v>
      </c>
      <c r="T47" s="234">
        <v>25</v>
      </c>
      <c r="U47" s="234">
        <v>36</v>
      </c>
      <c r="V47" s="234">
        <v>2</v>
      </c>
      <c r="W47" s="234"/>
      <c r="X47" s="234"/>
    </row>
    <row r="48" spans="1:24" ht="43.5" x14ac:dyDescent="0.35">
      <c r="A48" s="234">
        <v>54</v>
      </c>
      <c r="B48" s="234" t="s">
        <v>1179</v>
      </c>
      <c r="C48" s="234" t="s">
        <v>986</v>
      </c>
      <c r="D48" s="234" t="s">
        <v>1032</v>
      </c>
      <c r="E48" s="235" t="s">
        <v>1180</v>
      </c>
      <c r="F48" s="243" t="s">
        <v>204</v>
      </c>
      <c r="G48" s="243" t="s">
        <v>1127</v>
      </c>
      <c r="H48" s="234">
        <v>6</v>
      </c>
      <c r="I48" s="235" t="s">
        <v>43</v>
      </c>
      <c r="J48" s="234" t="s">
        <v>989</v>
      </c>
      <c r="K48" s="234" t="s">
        <v>1118</v>
      </c>
      <c r="L48" s="235" t="s">
        <v>1119</v>
      </c>
      <c r="M48" s="234">
        <v>1</v>
      </c>
      <c r="N48" s="235" t="s">
        <v>1181</v>
      </c>
      <c r="O48" s="234">
        <v>1</v>
      </c>
      <c r="P48" s="234">
        <v>0</v>
      </c>
      <c r="Q48" s="235" t="s">
        <v>1040</v>
      </c>
      <c r="R48" s="234">
        <v>17</v>
      </c>
      <c r="S48" s="234">
        <v>2</v>
      </c>
      <c r="T48" s="234">
        <v>15</v>
      </c>
      <c r="U48" s="234">
        <v>17</v>
      </c>
      <c r="V48" s="234"/>
      <c r="W48" s="234"/>
      <c r="X48" s="234"/>
    </row>
    <row r="49" spans="1:24" ht="43.5" x14ac:dyDescent="0.35">
      <c r="A49" s="234">
        <v>56</v>
      </c>
      <c r="B49" s="234" t="s">
        <v>1182</v>
      </c>
      <c r="C49" s="234" t="s">
        <v>986</v>
      </c>
      <c r="D49" s="234" t="s">
        <v>977</v>
      </c>
      <c r="E49" s="235" t="s">
        <v>1174</v>
      </c>
      <c r="F49" s="243" t="s">
        <v>385</v>
      </c>
      <c r="G49" s="243" t="s">
        <v>1183</v>
      </c>
      <c r="H49" s="234">
        <v>4</v>
      </c>
      <c r="I49" s="235" t="s">
        <v>52</v>
      </c>
      <c r="J49" s="234" t="s">
        <v>980</v>
      </c>
      <c r="K49" s="234" t="s">
        <v>1133</v>
      </c>
      <c r="L49" s="235" t="s">
        <v>982</v>
      </c>
      <c r="M49" s="234">
        <v>2</v>
      </c>
      <c r="N49" s="235" t="s">
        <v>1184</v>
      </c>
      <c r="O49" s="234">
        <v>0</v>
      </c>
      <c r="P49" s="234">
        <v>2</v>
      </c>
      <c r="Q49" s="235" t="s">
        <v>1185</v>
      </c>
      <c r="R49" s="234">
        <v>19</v>
      </c>
      <c r="S49" s="234">
        <v>4</v>
      </c>
      <c r="T49" s="234">
        <v>15</v>
      </c>
      <c r="U49" s="234">
        <v>19</v>
      </c>
      <c r="V49" s="234"/>
      <c r="W49" s="234"/>
      <c r="X49" s="234"/>
    </row>
    <row r="50" spans="1:24" ht="43.5" x14ac:dyDescent="0.35">
      <c r="A50" s="228">
        <v>57</v>
      </c>
      <c r="B50" s="228" t="s">
        <v>1186</v>
      </c>
      <c r="C50" s="228" t="s">
        <v>976</v>
      </c>
      <c r="D50" s="228" t="s">
        <v>977</v>
      </c>
      <c r="E50" s="229" t="s">
        <v>1187</v>
      </c>
      <c r="F50" s="242" t="s">
        <v>108</v>
      </c>
      <c r="G50" s="242">
        <v>63463</v>
      </c>
      <c r="H50" s="228">
        <v>5</v>
      </c>
      <c r="I50" s="229" t="s">
        <v>1001</v>
      </c>
      <c r="J50" s="228" t="s">
        <v>989</v>
      </c>
      <c r="K50" s="228" t="s">
        <v>1002</v>
      </c>
      <c r="L50" s="229" t="s">
        <v>1003</v>
      </c>
      <c r="M50" s="228">
        <v>2</v>
      </c>
      <c r="N50" s="229" t="s">
        <v>1188</v>
      </c>
      <c r="O50" s="228">
        <v>1</v>
      </c>
      <c r="P50" s="228">
        <v>1</v>
      </c>
      <c r="Q50" s="229" t="s">
        <v>1015</v>
      </c>
      <c r="R50" s="228">
        <v>31</v>
      </c>
      <c r="S50" s="228">
        <v>12</v>
      </c>
      <c r="T50" s="228">
        <v>19</v>
      </c>
      <c r="U50" s="228">
        <v>31</v>
      </c>
      <c r="V50" s="228"/>
      <c r="W50" s="228">
        <v>31</v>
      </c>
      <c r="X50" s="228"/>
    </row>
    <row r="51" spans="1:24" ht="43.5" x14ac:dyDescent="0.35">
      <c r="A51" s="228">
        <v>58</v>
      </c>
      <c r="B51" s="228" t="s">
        <v>1189</v>
      </c>
      <c r="C51" s="228" t="s">
        <v>986</v>
      </c>
      <c r="D51" s="228" t="s">
        <v>977</v>
      </c>
      <c r="E51" s="229" t="s">
        <v>1190</v>
      </c>
      <c r="F51" s="242" t="s">
        <v>204</v>
      </c>
      <c r="G51" s="242" t="s">
        <v>1191</v>
      </c>
      <c r="H51" s="228">
        <v>6</v>
      </c>
      <c r="I51" s="229" t="s">
        <v>43</v>
      </c>
      <c r="J51" s="228" t="s">
        <v>989</v>
      </c>
      <c r="K51" s="228" t="s">
        <v>1118</v>
      </c>
      <c r="L51" s="229" t="s">
        <v>1119</v>
      </c>
      <c r="M51" s="228">
        <v>1</v>
      </c>
      <c r="N51" s="229" t="s">
        <v>1192</v>
      </c>
      <c r="O51" s="230">
        <v>0</v>
      </c>
      <c r="P51" s="228">
        <v>1</v>
      </c>
      <c r="Q51" s="229" t="s">
        <v>1193</v>
      </c>
      <c r="R51" s="228">
        <v>9</v>
      </c>
      <c r="S51" s="228">
        <v>4</v>
      </c>
      <c r="T51" s="228">
        <v>5</v>
      </c>
      <c r="U51" s="228">
        <v>9</v>
      </c>
      <c r="V51" s="228"/>
      <c r="W51" s="228"/>
      <c r="X51" s="228"/>
    </row>
    <row r="52" spans="1:24" ht="43.5" x14ac:dyDescent="0.35">
      <c r="A52" s="228">
        <v>59</v>
      </c>
      <c r="B52" s="228" t="s">
        <v>1194</v>
      </c>
      <c r="C52" s="228" t="s">
        <v>976</v>
      </c>
      <c r="D52" s="228" t="s">
        <v>977</v>
      </c>
      <c r="E52" s="229" t="s">
        <v>1195</v>
      </c>
      <c r="F52" s="242" t="s">
        <v>204</v>
      </c>
      <c r="G52" s="242" t="s">
        <v>1127</v>
      </c>
      <c r="H52" s="228">
        <v>6</v>
      </c>
      <c r="I52" s="229" t="s">
        <v>43</v>
      </c>
      <c r="J52" s="228" t="s">
        <v>980</v>
      </c>
      <c r="K52" s="228" t="s">
        <v>1122</v>
      </c>
      <c r="L52" s="229" t="s">
        <v>982</v>
      </c>
      <c r="M52" s="228">
        <v>1</v>
      </c>
      <c r="N52" s="229" t="s">
        <v>1118</v>
      </c>
      <c r="O52" s="228">
        <v>1</v>
      </c>
      <c r="P52" s="228">
        <v>0</v>
      </c>
      <c r="Q52" s="229" t="s">
        <v>1119</v>
      </c>
      <c r="R52" s="228">
        <v>15</v>
      </c>
      <c r="S52" s="228">
        <v>1</v>
      </c>
      <c r="T52" s="228">
        <v>14</v>
      </c>
      <c r="U52" s="228">
        <v>15</v>
      </c>
      <c r="V52" s="228"/>
      <c r="W52" s="228">
        <v>15</v>
      </c>
      <c r="X52" s="228"/>
    </row>
    <row r="53" spans="1:24" ht="43.5" x14ac:dyDescent="0.35">
      <c r="A53" s="228">
        <v>60</v>
      </c>
      <c r="B53" s="228" t="s">
        <v>1196</v>
      </c>
      <c r="C53" s="228" t="s">
        <v>986</v>
      </c>
      <c r="D53" s="228" t="s">
        <v>977</v>
      </c>
      <c r="E53" s="229" t="s">
        <v>1197</v>
      </c>
      <c r="F53" s="242" t="s">
        <v>152</v>
      </c>
      <c r="G53" s="242">
        <v>59416</v>
      </c>
      <c r="H53" s="228">
        <v>1</v>
      </c>
      <c r="I53" s="229" t="s">
        <v>1028</v>
      </c>
      <c r="J53" s="228" t="s">
        <v>989</v>
      </c>
      <c r="K53" s="228" t="s">
        <v>1049</v>
      </c>
      <c r="L53" s="229" t="s">
        <v>982</v>
      </c>
      <c r="M53" s="228">
        <v>1</v>
      </c>
      <c r="N53" s="229" t="s">
        <v>1039</v>
      </c>
      <c r="O53" s="228">
        <v>1</v>
      </c>
      <c r="P53" s="228">
        <v>0</v>
      </c>
      <c r="Q53" s="229" t="s">
        <v>1040</v>
      </c>
      <c r="R53" s="228">
        <v>10</v>
      </c>
      <c r="S53" s="228">
        <v>5</v>
      </c>
      <c r="T53" s="228">
        <v>5</v>
      </c>
      <c r="U53" s="228">
        <v>9</v>
      </c>
      <c r="V53" s="228">
        <v>1</v>
      </c>
      <c r="W53" s="228"/>
      <c r="X53" s="228"/>
    </row>
    <row r="54" spans="1:24" ht="43.5" x14ac:dyDescent="0.35">
      <c r="A54" s="228">
        <v>61</v>
      </c>
      <c r="B54" s="228" t="s">
        <v>1198</v>
      </c>
      <c r="C54" s="228" t="s">
        <v>976</v>
      </c>
      <c r="D54" s="228" t="s">
        <v>977</v>
      </c>
      <c r="E54" s="229" t="s">
        <v>1199</v>
      </c>
      <c r="F54" s="242" t="s">
        <v>152</v>
      </c>
      <c r="G54" s="242">
        <v>59416</v>
      </c>
      <c r="H54" s="228">
        <v>1</v>
      </c>
      <c r="I54" s="229" t="s">
        <v>1028</v>
      </c>
      <c r="J54" s="228" t="s">
        <v>989</v>
      </c>
      <c r="K54" s="228" t="s">
        <v>1067</v>
      </c>
      <c r="L54" s="229" t="s">
        <v>982</v>
      </c>
      <c r="M54" s="228">
        <v>1</v>
      </c>
      <c r="N54" s="229" t="s">
        <v>1200</v>
      </c>
      <c r="O54" s="229">
        <v>0</v>
      </c>
      <c r="P54" s="228">
        <v>1</v>
      </c>
      <c r="Q54" s="229" t="s">
        <v>1040</v>
      </c>
      <c r="R54" s="228">
        <v>11</v>
      </c>
      <c r="S54" s="228">
        <v>3</v>
      </c>
      <c r="T54" s="228">
        <v>8</v>
      </c>
      <c r="U54" s="228">
        <v>11</v>
      </c>
      <c r="V54" s="228"/>
      <c r="W54" s="228">
        <v>11</v>
      </c>
      <c r="X54" s="228"/>
    </row>
  </sheetData>
  <mergeCells count="1"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77316-2614-4C1F-9267-CDA7A0F30B32}">
  <dimension ref="A1:W25"/>
  <sheetViews>
    <sheetView workbookViewId="0">
      <selection activeCell="F9" sqref="F9"/>
    </sheetView>
  </sheetViews>
  <sheetFormatPr baseColWidth="10" defaultColWidth="11.453125" defaultRowHeight="14.5" x14ac:dyDescent="0.35"/>
  <cols>
    <col min="1" max="1" width="11.453125" style="225"/>
    <col min="2" max="2" width="19.453125" style="225" customWidth="1"/>
    <col min="3" max="4" width="25.453125" style="225" customWidth="1"/>
    <col min="5" max="6" width="11.453125" style="225"/>
    <col min="7" max="7" width="16.81640625" style="226" customWidth="1"/>
    <col min="8" max="8" width="16.81640625" style="225" customWidth="1"/>
    <col min="9" max="9" width="25.26953125" style="225" customWidth="1"/>
    <col min="10" max="10" width="11.453125" style="225"/>
    <col min="11" max="11" width="17.26953125" style="225" customWidth="1"/>
    <col min="12" max="12" width="18.54296875" style="225" customWidth="1"/>
    <col min="13" max="13" width="25.26953125" style="225" customWidth="1"/>
    <col min="14" max="14" width="21.26953125" style="225" customWidth="1"/>
    <col min="15" max="15" width="12.7265625" style="225" customWidth="1"/>
    <col min="16" max="16" width="11.81640625" style="225" customWidth="1"/>
    <col min="17" max="17" width="27.1796875" style="225" customWidth="1"/>
    <col min="18" max="18" width="20.54296875" style="225" customWidth="1"/>
    <col min="19" max="20" width="11.453125" style="225"/>
    <col min="21" max="21" width="18.81640625" style="225" customWidth="1"/>
    <col min="22" max="22" width="23.453125" style="225" customWidth="1"/>
    <col min="23" max="23" width="25.81640625" style="225" customWidth="1"/>
    <col min="24" max="16384" width="11.453125" style="225"/>
  </cols>
  <sheetData>
    <row r="1" spans="1:23" customFormat="1" ht="21" x14ac:dyDescent="0.35">
      <c r="A1" s="246" t="s">
        <v>1214</v>
      </c>
      <c r="B1" s="246"/>
      <c r="C1" s="246"/>
      <c r="D1" s="247" t="s">
        <v>1215</v>
      </c>
      <c r="E1" s="247"/>
      <c r="F1" s="255"/>
      <c r="G1" s="248" t="s">
        <v>1216</v>
      </c>
      <c r="H1" s="249"/>
      <c r="I1" s="223" t="s">
        <v>952</v>
      </c>
    </row>
    <row r="2" spans="1:23" s="226" customFormat="1" ht="55.5" x14ac:dyDescent="0.35">
      <c r="A2" s="227" t="s">
        <v>954</v>
      </c>
      <c r="B2" s="227" t="s">
        <v>955</v>
      </c>
      <c r="C2" s="227" t="s">
        <v>1217</v>
      </c>
      <c r="D2" s="227" t="s">
        <v>957</v>
      </c>
      <c r="E2" s="227" t="s">
        <v>958</v>
      </c>
      <c r="F2" s="227" t="s">
        <v>1204</v>
      </c>
      <c r="G2" s="227" t="s">
        <v>959</v>
      </c>
      <c r="H2" s="227" t="s">
        <v>960</v>
      </c>
      <c r="I2" s="227" t="s">
        <v>961</v>
      </c>
      <c r="J2" s="227" t="s">
        <v>962</v>
      </c>
      <c r="K2" s="227" t="s">
        <v>963</v>
      </c>
      <c r="L2" s="227" t="s">
        <v>964</v>
      </c>
      <c r="M2" s="227" t="s">
        <v>965</v>
      </c>
      <c r="N2" s="227" t="s">
        <v>966</v>
      </c>
      <c r="O2" s="227" t="s">
        <v>1218</v>
      </c>
      <c r="P2" s="227" t="s">
        <v>1219</v>
      </c>
      <c r="Q2" s="227" t="s">
        <v>969</v>
      </c>
      <c r="R2" s="227" t="s">
        <v>970</v>
      </c>
      <c r="S2" s="227" t="s">
        <v>1218</v>
      </c>
      <c r="T2" s="227" t="s">
        <v>1219</v>
      </c>
      <c r="U2" s="227" t="s">
        <v>971</v>
      </c>
      <c r="V2" s="227" t="s">
        <v>972</v>
      </c>
      <c r="W2" s="227" t="s">
        <v>1220</v>
      </c>
    </row>
    <row r="3" spans="1:23" s="230" customFormat="1" ht="43.5" x14ac:dyDescent="0.35">
      <c r="A3" s="228">
        <v>1</v>
      </c>
      <c r="B3" s="228" t="s">
        <v>1221</v>
      </c>
      <c r="C3" s="228" t="s">
        <v>986</v>
      </c>
      <c r="D3" s="228" t="s">
        <v>977</v>
      </c>
      <c r="E3" s="229" t="s">
        <v>1222</v>
      </c>
      <c r="F3" s="229">
        <v>69</v>
      </c>
      <c r="G3" s="229">
        <v>69164</v>
      </c>
      <c r="H3" s="228">
        <v>5</v>
      </c>
      <c r="I3" s="228" t="s">
        <v>461</v>
      </c>
      <c r="J3" s="228" t="s">
        <v>989</v>
      </c>
      <c r="K3" s="228" t="s">
        <v>1223</v>
      </c>
      <c r="L3" s="228" t="s">
        <v>982</v>
      </c>
      <c r="M3" s="229">
        <v>2</v>
      </c>
      <c r="N3" s="229" t="s">
        <v>1224</v>
      </c>
      <c r="O3" s="228">
        <v>2</v>
      </c>
      <c r="P3" s="228">
        <v>0</v>
      </c>
      <c r="Q3" s="229" t="s">
        <v>1225</v>
      </c>
      <c r="R3" s="228">
        <v>14</v>
      </c>
      <c r="S3" s="228">
        <v>4</v>
      </c>
      <c r="T3" s="228">
        <v>10</v>
      </c>
      <c r="U3" s="228">
        <v>14</v>
      </c>
      <c r="V3" s="228">
        <v>0</v>
      </c>
      <c r="W3" s="228">
        <v>0</v>
      </c>
    </row>
    <row r="4" spans="1:23" s="230" customFormat="1" ht="43.5" x14ac:dyDescent="0.35">
      <c r="A4" s="228">
        <v>2</v>
      </c>
      <c r="B4" s="228" t="s">
        <v>1226</v>
      </c>
      <c r="C4" s="228" t="s">
        <v>1227</v>
      </c>
      <c r="D4" s="228" t="s">
        <v>977</v>
      </c>
      <c r="E4" s="229" t="s">
        <v>1228</v>
      </c>
      <c r="F4" s="229">
        <v>59</v>
      </c>
      <c r="G4" s="229">
        <v>59416</v>
      </c>
      <c r="H4" s="228">
        <v>1</v>
      </c>
      <c r="I4" s="228" t="s">
        <v>1028</v>
      </c>
      <c r="J4" s="228" t="s">
        <v>989</v>
      </c>
      <c r="K4" s="228" t="s">
        <v>1067</v>
      </c>
      <c r="L4" s="228" t="s">
        <v>982</v>
      </c>
      <c r="M4" s="228">
        <v>1</v>
      </c>
      <c r="N4" s="229" t="s">
        <v>1229</v>
      </c>
      <c r="O4" s="228">
        <v>1</v>
      </c>
      <c r="P4" s="228">
        <v>0</v>
      </c>
      <c r="Q4" s="228" t="s">
        <v>982</v>
      </c>
      <c r="R4" s="228">
        <v>6</v>
      </c>
      <c r="S4" s="228">
        <v>0</v>
      </c>
      <c r="T4" s="228">
        <v>6</v>
      </c>
      <c r="U4" s="228">
        <v>6</v>
      </c>
      <c r="V4" s="228">
        <v>0</v>
      </c>
      <c r="W4" s="228">
        <v>6</v>
      </c>
    </row>
    <row r="5" spans="1:23" s="230" customFormat="1" ht="43.5" x14ac:dyDescent="0.35">
      <c r="A5" s="228">
        <v>3</v>
      </c>
      <c r="B5" s="228" t="s">
        <v>1230</v>
      </c>
      <c r="C5" s="228" t="s">
        <v>986</v>
      </c>
      <c r="D5" s="228" t="s">
        <v>977</v>
      </c>
      <c r="E5" s="229" t="s">
        <v>1231</v>
      </c>
      <c r="F5" s="229">
        <v>59</v>
      </c>
      <c r="G5" s="229">
        <v>59416</v>
      </c>
      <c r="H5" s="228">
        <v>1</v>
      </c>
      <c r="I5" s="228" t="s">
        <v>1028</v>
      </c>
      <c r="J5" s="228" t="s">
        <v>980</v>
      </c>
      <c r="K5" s="228" t="s">
        <v>1232</v>
      </c>
      <c r="L5" s="228" t="s">
        <v>982</v>
      </c>
      <c r="M5" s="228">
        <v>1</v>
      </c>
      <c r="N5" s="229" t="s">
        <v>1233</v>
      </c>
      <c r="O5" s="228">
        <v>0</v>
      </c>
      <c r="P5" s="228">
        <v>1</v>
      </c>
      <c r="Q5" s="228" t="s">
        <v>982</v>
      </c>
      <c r="R5" s="228">
        <v>11</v>
      </c>
      <c r="S5" s="228">
        <v>6</v>
      </c>
      <c r="T5" s="228">
        <v>5</v>
      </c>
      <c r="U5" s="228">
        <v>11</v>
      </c>
      <c r="V5" s="228">
        <v>0</v>
      </c>
      <c r="W5" s="228">
        <v>0</v>
      </c>
    </row>
    <row r="6" spans="1:23" s="230" customFormat="1" ht="43.5" x14ac:dyDescent="0.35">
      <c r="A6" s="228">
        <v>4</v>
      </c>
      <c r="B6" s="228" t="s">
        <v>1234</v>
      </c>
      <c r="C6" s="228" t="s">
        <v>1227</v>
      </c>
      <c r="D6" s="228" t="s">
        <v>977</v>
      </c>
      <c r="E6" s="229" t="s">
        <v>1235</v>
      </c>
      <c r="F6" s="229">
        <v>12</v>
      </c>
      <c r="G6" s="229">
        <v>12131</v>
      </c>
      <c r="H6" s="228">
        <v>4</v>
      </c>
      <c r="I6" s="228" t="s">
        <v>52</v>
      </c>
      <c r="J6" s="228" t="s">
        <v>980</v>
      </c>
      <c r="K6" s="228" t="s">
        <v>996</v>
      </c>
      <c r="L6" s="228" t="s">
        <v>982</v>
      </c>
      <c r="M6" s="228">
        <v>1</v>
      </c>
      <c r="N6" s="229" t="s">
        <v>1236</v>
      </c>
      <c r="O6" s="228">
        <v>0</v>
      </c>
      <c r="P6" s="228">
        <v>1</v>
      </c>
      <c r="Q6" s="229" t="s">
        <v>1237</v>
      </c>
      <c r="R6" s="228">
        <v>10</v>
      </c>
      <c r="S6" s="228">
        <v>3</v>
      </c>
      <c r="T6" s="228">
        <v>7</v>
      </c>
      <c r="U6" s="228">
        <v>10</v>
      </c>
      <c r="V6" s="228">
        <v>0</v>
      </c>
      <c r="W6" s="228">
        <v>10</v>
      </c>
    </row>
    <row r="7" spans="1:23" s="230" customFormat="1" ht="43.5" x14ac:dyDescent="0.35">
      <c r="A7" s="228">
        <v>5</v>
      </c>
      <c r="B7" s="228" t="s">
        <v>1238</v>
      </c>
      <c r="C7" s="228" t="s">
        <v>986</v>
      </c>
      <c r="D7" s="228" t="s">
        <v>977</v>
      </c>
      <c r="E7" s="229" t="s">
        <v>1239</v>
      </c>
      <c r="F7" s="229">
        <v>12</v>
      </c>
      <c r="G7" s="229">
        <v>12131</v>
      </c>
      <c r="H7" s="228">
        <v>4</v>
      </c>
      <c r="I7" s="228" t="s">
        <v>52</v>
      </c>
      <c r="J7" s="228" t="s">
        <v>989</v>
      </c>
      <c r="K7" s="228" t="s">
        <v>990</v>
      </c>
      <c r="L7" s="228" t="s">
        <v>982</v>
      </c>
      <c r="M7" s="228">
        <v>2</v>
      </c>
      <c r="N7" s="229" t="s">
        <v>1240</v>
      </c>
      <c r="O7" s="228">
        <v>1</v>
      </c>
      <c r="P7" s="228">
        <v>1</v>
      </c>
      <c r="Q7" s="229" t="s">
        <v>1040</v>
      </c>
      <c r="R7" s="228">
        <v>15</v>
      </c>
      <c r="S7" s="228">
        <v>7</v>
      </c>
      <c r="T7" s="228">
        <v>8</v>
      </c>
      <c r="U7" s="228">
        <v>14</v>
      </c>
      <c r="V7" s="228">
        <v>1</v>
      </c>
      <c r="W7" s="228">
        <v>0</v>
      </c>
    </row>
    <row r="8" spans="1:23" s="230" customFormat="1" ht="43.5" x14ac:dyDescent="0.35">
      <c r="A8" s="228">
        <v>6</v>
      </c>
      <c r="B8" s="228" t="s">
        <v>1241</v>
      </c>
      <c r="C8" s="228" t="s">
        <v>986</v>
      </c>
      <c r="D8" s="228" t="s">
        <v>977</v>
      </c>
      <c r="E8" s="229" t="s">
        <v>1242</v>
      </c>
      <c r="F8" s="229">
        <v>35</v>
      </c>
      <c r="G8" s="229">
        <v>35334</v>
      </c>
      <c r="H8" s="228">
        <v>2</v>
      </c>
      <c r="I8" s="228" t="s">
        <v>131</v>
      </c>
      <c r="J8" s="228" t="s">
        <v>980</v>
      </c>
      <c r="K8" s="228" t="s">
        <v>1243</v>
      </c>
      <c r="L8" s="228" t="s">
        <v>982</v>
      </c>
      <c r="M8" s="228">
        <v>2</v>
      </c>
      <c r="N8" s="229" t="s">
        <v>1244</v>
      </c>
      <c r="O8" s="228">
        <v>1</v>
      </c>
      <c r="P8" s="228">
        <v>1</v>
      </c>
      <c r="Q8" s="229" t="s">
        <v>1225</v>
      </c>
      <c r="R8" s="228">
        <v>13</v>
      </c>
      <c r="S8" s="228">
        <v>3</v>
      </c>
      <c r="T8" s="228">
        <v>10</v>
      </c>
      <c r="U8" s="228">
        <v>13</v>
      </c>
      <c r="V8" s="228">
        <v>0</v>
      </c>
      <c r="W8" s="228">
        <v>0</v>
      </c>
    </row>
    <row r="9" spans="1:23" s="252" customFormat="1" x14ac:dyDescent="0.35">
      <c r="A9" s="250"/>
      <c r="B9" s="250"/>
      <c r="C9" s="250"/>
      <c r="D9" s="250"/>
      <c r="E9" s="251"/>
      <c r="F9" s="251"/>
      <c r="G9" s="251"/>
      <c r="H9" s="250"/>
      <c r="I9" s="250"/>
      <c r="J9" s="250"/>
      <c r="K9" s="250"/>
      <c r="L9" s="250"/>
      <c r="M9" s="250"/>
      <c r="N9" s="251"/>
      <c r="O9" s="250"/>
      <c r="P9" s="250"/>
      <c r="Q9" s="250"/>
      <c r="R9" s="250"/>
      <c r="S9" s="250"/>
      <c r="T9" s="250"/>
      <c r="U9" s="250"/>
      <c r="V9" s="250"/>
      <c r="W9" s="250"/>
    </row>
    <row r="10" spans="1:23" s="252" customFormat="1" x14ac:dyDescent="0.35">
      <c r="A10" s="250"/>
      <c r="B10" s="250"/>
      <c r="C10" s="250"/>
      <c r="D10" s="250"/>
      <c r="E10" s="250"/>
      <c r="F10" s="250"/>
      <c r="G10" s="251"/>
      <c r="H10" s="250"/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0"/>
      <c r="U10" s="250"/>
      <c r="V10" s="250"/>
      <c r="W10" s="250"/>
    </row>
    <row r="11" spans="1:23" s="252" customFormat="1" x14ac:dyDescent="0.35">
      <c r="A11" s="250"/>
      <c r="B11" s="250"/>
      <c r="C11" s="250"/>
      <c r="D11" s="250"/>
      <c r="E11" s="250"/>
      <c r="F11" s="250"/>
      <c r="G11" s="251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</row>
    <row r="12" spans="1:23" s="252" customFormat="1" x14ac:dyDescent="0.35">
      <c r="A12" s="250"/>
      <c r="B12" s="250"/>
      <c r="C12" s="250"/>
      <c r="D12" s="250"/>
      <c r="E12" s="250"/>
      <c r="F12" s="250"/>
      <c r="G12" s="251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</row>
    <row r="13" spans="1:23" s="252" customFormat="1" x14ac:dyDescent="0.35">
      <c r="A13" s="250"/>
      <c r="B13" s="250"/>
      <c r="C13" s="250"/>
      <c r="D13" s="250"/>
      <c r="E13" s="250"/>
      <c r="F13" s="250"/>
      <c r="G13" s="251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/>
      <c r="W13" s="250"/>
    </row>
    <row r="14" spans="1:23" s="252" customFormat="1" x14ac:dyDescent="0.35">
      <c r="A14" s="250"/>
      <c r="B14" s="250"/>
      <c r="C14" s="250"/>
      <c r="D14" s="250"/>
      <c r="E14" s="250"/>
      <c r="F14" s="250"/>
      <c r="G14" s="251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</row>
    <row r="15" spans="1:23" s="252" customFormat="1" x14ac:dyDescent="0.35">
      <c r="A15" s="250"/>
      <c r="B15" s="250"/>
      <c r="C15" s="250"/>
      <c r="D15" s="250"/>
      <c r="E15" s="250"/>
      <c r="F15" s="250"/>
      <c r="G15" s="251"/>
      <c r="H15" s="250"/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</row>
    <row r="16" spans="1:23" s="252" customFormat="1" x14ac:dyDescent="0.35">
      <c r="A16" s="250"/>
      <c r="B16" s="250"/>
      <c r="C16" s="250"/>
      <c r="D16" s="250"/>
      <c r="E16" s="250"/>
      <c r="F16" s="250"/>
      <c r="G16" s="251"/>
      <c r="H16" s="250"/>
      <c r="I16" s="250"/>
      <c r="J16" s="250"/>
      <c r="K16" s="250"/>
      <c r="L16" s="250"/>
      <c r="M16" s="250"/>
      <c r="N16" s="250"/>
      <c r="O16" s="250"/>
      <c r="P16" s="250"/>
      <c r="Q16" s="250"/>
      <c r="R16" s="250"/>
      <c r="S16" s="250"/>
      <c r="T16" s="250"/>
      <c r="U16" s="250"/>
      <c r="V16" s="250"/>
      <c r="W16" s="250"/>
    </row>
    <row r="17" spans="1:23" s="252" customFormat="1" x14ac:dyDescent="0.35">
      <c r="A17" s="250"/>
      <c r="B17" s="250"/>
      <c r="C17" s="250"/>
      <c r="D17" s="250"/>
      <c r="E17" s="250"/>
      <c r="F17" s="250"/>
      <c r="G17" s="251"/>
      <c r="H17" s="250"/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0"/>
      <c r="U17" s="250"/>
      <c r="V17" s="250"/>
      <c r="W17" s="250"/>
    </row>
    <row r="18" spans="1:23" s="252" customFormat="1" x14ac:dyDescent="0.35">
      <c r="A18" s="250"/>
      <c r="B18" s="250"/>
      <c r="C18" s="250"/>
      <c r="D18" s="250"/>
      <c r="E18" s="250"/>
      <c r="F18" s="250"/>
      <c r="G18" s="251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</row>
    <row r="19" spans="1:23" s="252" customFormat="1" x14ac:dyDescent="0.35">
      <c r="A19" s="250"/>
      <c r="B19" s="250"/>
      <c r="C19" s="250"/>
      <c r="D19" s="250"/>
      <c r="E19" s="250"/>
      <c r="F19" s="250"/>
      <c r="G19" s="251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  <c r="U19" s="250"/>
      <c r="V19" s="250"/>
      <c r="W19" s="250"/>
    </row>
    <row r="20" spans="1:23" s="252" customFormat="1" x14ac:dyDescent="0.35">
      <c r="A20" s="250"/>
      <c r="B20" s="250"/>
      <c r="C20" s="250"/>
      <c r="D20" s="250"/>
      <c r="E20" s="250"/>
      <c r="F20" s="250"/>
      <c r="G20" s="251"/>
      <c r="H20" s="250"/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</row>
    <row r="21" spans="1:23" s="252" customFormat="1" x14ac:dyDescent="0.35">
      <c r="A21" s="250"/>
      <c r="B21" s="250"/>
      <c r="C21" s="250"/>
      <c r="D21" s="250"/>
      <c r="E21" s="250"/>
      <c r="F21" s="250"/>
      <c r="G21" s="251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50"/>
    </row>
    <row r="22" spans="1:23" s="252" customFormat="1" x14ac:dyDescent="0.35">
      <c r="A22" s="250"/>
      <c r="B22" s="250"/>
      <c r="C22" s="250"/>
      <c r="D22" s="250"/>
      <c r="E22" s="250"/>
      <c r="F22" s="250"/>
      <c r="G22" s="251"/>
      <c r="H22" s="250"/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</row>
    <row r="23" spans="1:23" s="252" customFormat="1" x14ac:dyDescent="0.35">
      <c r="A23" s="250"/>
      <c r="B23" s="250"/>
      <c r="C23" s="250"/>
      <c r="D23" s="250"/>
      <c r="E23" s="250"/>
      <c r="F23" s="250"/>
      <c r="G23" s="251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</row>
    <row r="24" spans="1:23" s="252" customFormat="1" x14ac:dyDescent="0.35">
      <c r="A24" s="250"/>
      <c r="B24" s="250"/>
      <c r="C24" s="250"/>
      <c r="D24" s="250"/>
      <c r="E24" s="250"/>
      <c r="F24" s="250"/>
      <c r="G24" s="251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</row>
    <row r="25" spans="1:23" x14ac:dyDescent="0.35">
      <c r="A25" s="253"/>
      <c r="B25" s="253"/>
      <c r="C25" s="253"/>
      <c r="D25" s="253"/>
      <c r="E25" s="253"/>
      <c r="F25" s="253"/>
      <c r="G25" s="254"/>
      <c r="H25" s="253"/>
      <c r="I25" s="253"/>
      <c r="J25" s="253"/>
      <c r="K25" s="253"/>
      <c r="L25" s="253"/>
      <c r="M25" s="253"/>
      <c r="N25" s="253"/>
      <c r="O25" s="253"/>
      <c r="P25" s="253"/>
      <c r="Q25" s="253"/>
      <c r="R25" s="253"/>
      <c r="S25" s="253"/>
      <c r="T25" s="253"/>
      <c r="U25" s="253"/>
      <c r="V25" s="253"/>
      <c r="W25" s="253"/>
    </row>
  </sheetData>
  <mergeCells count="2">
    <mergeCell ref="A1:C1"/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D0B05-A9CE-48D7-9CC6-3E4C32C1DDD7}">
  <dimension ref="A1:AU120"/>
  <sheetViews>
    <sheetView topLeftCell="A3" workbookViewId="0">
      <selection activeCell="AU3" sqref="AU3:AU120"/>
    </sheetView>
  </sheetViews>
  <sheetFormatPr baseColWidth="10" defaultRowHeight="14.5" x14ac:dyDescent="0.35"/>
  <cols>
    <col min="1" max="1" width="11" customWidth="1"/>
    <col min="2" max="2" width="4.7265625" customWidth="1"/>
    <col min="3" max="3" width="18" bestFit="1" customWidth="1"/>
    <col min="4" max="4" width="5" bestFit="1" customWidth="1"/>
    <col min="5" max="5" width="4.81640625" style="211" bestFit="1" customWidth="1"/>
    <col min="6" max="6" width="30.7265625" bestFit="1" customWidth="1"/>
    <col min="7" max="7" width="46" style="211" customWidth="1"/>
    <col min="8" max="8" width="34.453125" customWidth="1"/>
    <col min="9" max="9" width="9.1796875" customWidth="1"/>
    <col min="10" max="10" width="22.81640625" bestFit="1" customWidth="1"/>
    <col min="11" max="11" width="17.54296875" customWidth="1"/>
    <col min="12" max="12" width="10.7265625" customWidth="1"/>
    <col min="13" max="13" width="11.81640625" customWidth="1"/>
    <col min="14" max="14" width="13.54296875" customWidth="1"/>
    <col min="15" max="15" width="23.81640625" bestFit="1" customWidth="1"/>
    <col min="16" max="16" width="18.26953125" customWidth="1"/>
    <col min="17" max="17" width="17.1796875" customWidth="1"/>
    <col min="18" max="18" width="39.453125" customWidth="1"/>
    <col min="19" max="19" width="11.453125"/>
    <col min="20" max="31" width="0" hidden="1" customWidth="1"/>
    <col min="32" max="32" width="6.26953125" bestFit="1" customWidth="1"/>
    <col min="33" max="34" width="7.26953125" customWidth="1"/>
    <col min="35" max="35" width="2.54296875" customWidth="1"/>
    <col min="36" max="36" width="3" customWidth="1"/>
    <col min="37" max="37" width="3.453125" customWidth="1"/>
    <col min="38" max="38" width="3.7265625" customWidth="1"/>
    <col min="39" max="39" width="6.81640625" customWidth="1"/>
    <col min="40" max="40" width="7" customWidth="1"/>
    <col min="41" max="41" width="5" customWidth="1"/>
    <col min="42" max="42" width="4.81640625" customWidth="1"/>
    <col min="43" max="43" width="7.26953125" customWidth="1"/>
    <col min="44" max="44" width="7" customWidth="1"/>
    <col min="45" max="45" width="5.7265625" customWidth="1"/>
    <col min="46" max="46" width="23.453125" bestFit="1" customWidth="1"/>
  </cols>
  <sheetData>
    <row r="1" spans="1:47" x14ac:dyDescent="0.35">
      <c r="A1" s="257" t="s">
        <v>1248</v>
      </c>
      <c r="B1" s="258"/>
      <c r="C1" s="259"/>
      <c r="D1" s="260"/>
      <c r="E1" s="417"/>
      <c r="F1" s="261"/>
      <c r="G1" s="403"/>
      <c r="H1" s="261"/>
      <c r="I1" s="262"/>
      <c r="J1" s="261"/>
      <c r="K1" s="263"/>
      <c r="L1" s="264"/>
      <c r="M1" s="264"/>
      <c r="N1" s="265"/>
      <c r="O1" s="266"/>
      <c r="P1" s="267"/>
      <c r="Q1" s="268"/>
      <c r="R1" s="269"/>
      <c r="S1" s="270"/>
      <c r="T1" s="271">
        <f t="shared" ref="T1:AP1" si="0">SUM(T32:T36)</f>
        <v>0</v>
      </c>
      <c r="U1" s="271">
        <f t="shared" si="0"/>
        <v>0</v>
      </c>
      <c r="V1" s="271">
        <f t="shared" si="0"/>
        <v>0</v>
      </c>
      <c r="W1" s="271">
        <f t="shared" si="0"/>
        <v>0</v>
      </c>
      <c r="X1" s="271">
        <f t="shared" si="0"/>
        <v>0</v>
      </c>
      <c r="Y1" s="271">
        <f t="shared" si="0"/>
        <v>0</v>
      </c>
      <c r="Z1" s="271">
        <f t="shared" si="0"/>
        <v>0</v>
      </c>
      <c r="AA1" s="271">
        <f t="shared" si="0"/>
        <v>0</v>
      </c>
      <c r="AB1" s="271">
        <f t="shared" si="0"/>
        <v>0</v>
      </c>
      <c r="AC1" s="271">
        <f t="shared" si="0"/>
        <v>0</v>
      </c>
      <c r="AD1" s="271">
        <f t="shared" si="0"/>
        <v>0</v>
      </c>
      <c r="AE1" s="271">
        <f t="shared" si="0"/>
        <v>0</v>
      </c>
      <c r="AF1" s="271">
        <f t="shared" si="0"/>
        <v>0</v>
      </c>
      <c r="AG1" s="271">
        <f t="shared" si="0"/>
        <v>0</v>
      </c>
      <c r="AH1" s="271">
        <f t="shared" si="0"/>
        <v>0</v>
      </c>
      <c r="AI1" s="271">
        <f t="shared" si="0"/>
        <v>7</v>
      </c>
      <c r="AJ1" s="271">
        <f t="shared" si="0"/>
        <v>27</v>
      </c>
      <c r="AK1" s="271">
        <f t="shared" si="0"/>
        <v>59</v>
      </c>
      <c r="AL1" s="271">
        <f t="shared" si="0"/>
        <v>51</v>
      </c>
      <c r="AM1" s="271">
        <f t="shared" si="0"/>
        <v>144</v>
      </c>
      <c r="AN1" s="271">
        <f t="shared" si="0"/>
        <v>67</v>
      </c>
      <c r="AO1" s="271">
        <f t="shared" si="0"/>
        <v>144</v>
      </c>
      <c r="AP1" s="271">
        <f t="shared" si="0"/>
        <v>67</v>
      </c>
      <c r="AQ1" s="272" t="e">
        <f>+AG1/AH1</f>
        <v>#DIV/0!</v>
      </c>
      <c r="AR1" s="272">
        <f>+AM1/AN1</f>
        <v>2.1492537313432836</v>
      </c>
      <c r="AS1" s="273">
        <f>+AO1/AP1</f>
        <v>2.1492537313432836</v>
      </c>
      <c r="AT1" s="274"/>
    </row>
    <row r="2" spans="1:47" ht="48" x14ac:dyDescent="0.35">
      <c r="A2" s="275"/>
      <c r="B2" s="276" t="s">
        <v>1249</v>
      </c>
      <c r="C2" s="277" t="s">
        <v>1250</v>
      </c>
      <c r="D2" s="278" t="s">
        <v>1251</v>
      </c>
      <c r="E2" s="278" t="s">
        <v>1252</v>
      </c>
      <c r="F2" s="280" t="s">
        <v>1253</v>
      </c>
      <c r="G2" s="404" t="s">
        <v>1254</v>
      </c>
      <c r="H2" s="280" t="s">
        <v>1255</v>
      </c>
      <c r="I2" s="281" t="s">
        <v>1256</v>
      </c>
      <c r="J2" s="276" t="s">
        <v>1257</v>
      </c>
      <c r="K2" s="282" t="s">
        <v>1258</v>
      </c>
      <c r="L2" s="283" t="s">
        <v>1259</v>
      </c>
      <c r="M2" s="283" t="s">
        <v>1260</v>
      </c>
      <c r="N2" s="284" t="s">
        <v>1261</v>
      </c>
      <c r="O2" s="280" t="s">
        <v>1262</v>
      </c>
      <c r="P2" s="282" t="s">
        <v>1263</v>
      </c>
      <c r="Q2" s="280" t="s">
        <v>1264</v>
      </c>
      <c r="R2" s="279" t="s">
        <v>1265</v>
      </c>
      <c r="S2" s="276" t="s">
        <v>1266</v>
      </c>
      <c r="T2" s="285" t="s">
        <v>1267</v>
      </c>
      <c r="U2" s="286" t="s">
        <v>1268</v>
      </c>
      <c r="V2" s="287" t="s">
        <v>1269</v>
      </c>
      <c r="W2" s="288" t="s">
        <v>1270</v>
      </c>
      <c r="X2" s="289" t="s">
        <v>1271</v>
      </c>
      <c r="Y2" s="290" t="s">
        <v>1272</v>
      </c>
      <c r="Z2" s="291" t="s">
        <v>1273</v>
      </c>
      <c r="AA2" s="292" t="s">
        <v>1274</v>
      </c>
      <c r="AB2" s="293" t="s">
        <v>1275</v>
      </c>
      <c r="AC2" s="294" t="s">
        <v>1276</v>
      </c>
      <c r="AD2" s="295" t="s">
        <v>1277</v>
      </c>
      <c r="AE2" s="296" t="s">
        <v>1278</v>
      </c>
      <c r="AF2" s="296" t="s">
        <v>1279</v>
      </c>
      <c r="AG2" s="297" t="s">
        <v>1280</v>
      </c>
      <c r="AH2" s="298" t="s">
        <v>1281</v>
      </c>
      <c r="AI2" s="299" t="s">
        <v>1282</v>
      </c>
      <c r="AJ2" s="299" t="s">
        <v>1283</v>
      </c>
      <c r="AK2" s="299" t="s">
        <v>1284</v>
      </c>
      <c r="AL2" s="299" t="s">
        <v>1285</v>
      </c>
      <c r="AM2" s="300" t="s">
        <v>1286</v>
      </c>
      <c r="AN2" s="300" t="s">
        <v>1287</v>
      </c>
      <c r="AO2" s="301" t="s">
        <v>1288</v>
      </c>
      <c r="AP2" s="302" t="s">
        <v>1289</v>
      </c>
      <c r="AQ2" s="303" t="s">
        <v>1290</v>
      </c>
      <c r="AR2" s="303" t="s">
        <v>1291</v>
      </c>
      <c r="AS2" s="304" t="s">
        <v>1292</v>
      </c>
      <c r="AT2" s="305" t="s">
        <v>1293</v>
      </c>
      <c r="AU2" s="424" t="s">
        <v>1947</v>
      </c>
    </row>
    <row r="3" spans="1:47" x14ac:dyDescent="0.35">
      <c r="A3" s="306" t="s">
        <v>1294</v>
      </c>
      <c r="B3" s="307" t="s">
        <v>1295</v>
      </c>
      <c r="C3" s="308" t="s">
        <v>1296</v>
      </c>
      <c r="D3" s="309">
        <v>7</v>
      </c>
      <c r="E3" s="398">
        <v>29</v>
      </c>
      <c r="F3" s="310" t="s">
        <v>1297</v>
      </c>
      <c r="G3" s="405" t="s">
        <v>1298</v>
      </c>
      <c r="H3" s="311" t="s">
        <v>1299</v>
      </c>
      <c r="I3" s="312">
        <v>29430</v>
      </c>
      <c r="J3" s="313" t="s">
        <v>1297</v>
      </c>
      <c r="K3" s="314" t="s">
        <v>1300</v>
      </c>
      <c r="L3" s="315">
        <v>43290</v>
      </c>
      <c r="M3" s="316">
        <v>43302</v>
      </c>
      <c r="N3" s="317" t="s">
        <v>1301</v>
      </c>
      <c r="O3" s="318" t="s">
        <v>1302</v>
      </c>
      <c r="P3" s="319">
        <v>0</v>
      </c>
      <c r="Q3" s="320">
        <v>0</v>
      </c>
      <c r="R3" s="308">
        <v>0</v>
      </c>
      <c r="S3" s="276">
        <v>0</v>
      </c>
      <c r="T3" s="321"/>
      <c r="U3" s="321"/>
      <c r="V3" s="321"/>
      <c r="W3" s="321"/>
      <c r="X3" s="321"/>
      <c r="Y3" s="321"/>
      <c r="Z3" s="321"/>
      <c r="AA3" s="321"/>
      <c r="AB3" s="321"/>
      <c r="AC3" s="321"/>
      <c r="AD3" s="322" t="s">
        <v>1303</v>
      </c>
      <c r="AE3" s="323">
        <v>6</v>
      </c>
      <c r="AF3" s="324">
        <v>18</v>
      </c>
      <c r="AG3" s="325">
        <f t="shared" ref="AG3:AG39" si="1">SUM(AE3:AF3)</f>
        <v>24</v>
      </c>
      <c r="AH3" s="326">
        <v>7</v>
      </c>
      <c r="AI3" s="321"/>
      <c r="AJ3" s="321"/>
      <c r="AK3" s="321"/>
      <c r="AL3" s="321"/>
      <c r="AM3" s="327">
        <f t="shared" ref="AM3:AM17" si="2">SUM(AI3:AL3)</f>
        <v>0</v>
      </c>
      <c r="AN3" s="328"/>
      <c r="AO3" s="329">
        <f>T3+V3+X3+Z3+AB3+AG3+AF3</f>
        <v>42</v>
      </c>
      <c r="AP3" s="329">
        <f t="shared" ref="AP3:AP24" si="3">+AH3+AN3</f>
        <v>7</v>
      </c>
      <c r="AQ3" s="330">
        <f t="shared" ref="AQ3:AQ39" si="4">+AG3/AH3</f>
        <v>3.4285714285714284</v>
      </c>
      <c r="AR3" s="331" t="e">
        <f t="shared" ref="AR3:AR39" si="5">+AM3/AN3</f>
        <v>#DIV/0!</v>
      </c>
      <c r="AS3" s="332">
        <f t="shared" ref="AS3:AS39" si="6">+AO3/AP3</f>
        <v>6</v>
      </c>
      <c r="AT3" s="333" t="s">
        <v>1304</v>
      </c>
      <c r="AU3">
        <f>AG3+AO3</f>
        <v>66</v>
      </c>
    </row>
    <row r="4" spans="1:47" x14ac:dyDescent="0.35">
      <c r="A4" s="306" t="s">
        <v>1294</v>
      </c>
      <c r="B4" s="307" t="s">
        <v>1295</v>
      </c>
      <c r="C4" s="308" t="s">
        <v>1305</v>
      </c>
      <c r="D4" s="334">
        <v>7</v>
      </c>
      <c r="E4" s="398">
        <v>14</v>
      </c>
      <c r="F4" s="310" t="s">
        <v>1306</v>
      </c>
      <c r="G4" s="406" t="s">
        <v>1307</v>
      </c>
      <c r="H4" s="311" t="s">
        <v>1308</v>
      </c>
      <c r="I4" s="312">
        <v>14130</v>
      </c>
      <c r="J4" s="313" t="s">
        <v>1306</v>
      </c>
      <c r="K4" s="314" t="s">
        <v>1309</v>
      </c>
      <c r="L4" s="315">
        <v>43290</v>
      </c>
      <c r="M4" s="316">
        <v>43302</v>
      </c>
      <c r="N4" s="317" t="s">
        <v>1301</v>
      </c>
      <c r="O4" s="318" t="s">
        <v>1310</v>
      </c>
      <c r="P4" s="319">
        <v>0</v>
      </c>
      <c r="Q4" s="320">
        <v>0</v>
      </c>
      <c r="R4" s="308">
        <v>0</v>
      </c>
      <c r="S4" s="276">
        <v>0</v>
      </c>
      <c r="T4" s="321"/>
      <c r="U4" s="321"/>
      <c r="V4" s="321"/>
      <c r="W4" s="321"/>
      <c r="X4" s="321"/>
      <c r="Y4" s="321"/>
      <c r="Z4" s="321"/>
      <c r="AA4" s="321"/>
      <c r="AB4" s="321"/>
      <c r="AC4" s="321"/>
      <c r="AD4" s="322" t="s">
        <v>1303</v>
      </c>
      <c r="AE4" s="323">
        <v>6</v>
      </c>
      <c r="AF4" s="336">
        <v>18</v>
      </c>
      <c r="AG4" s="325">
        <f t="shared" si="1"/>
        <v>24</v>
      </c>
      <c r="AH4" s="326">
        <v>10</v>
      </c>
      <c r="AI4" s="321"/>
      <c r="AJ4" s="321"/>
      <c r="AK4" s="321"/>
      <c r="AL4" s="321"/>
      <c r="AM4" s="327">
        <f t="shared" si="2"/>
        <v>0</v>
      </c>
      <c r="AN4" s="328"/>
      <c r="AO4" s="329">
        <f>T4+V4+X4+Z4+AB4+AG4+AF4</f>
        <v>42</v>
      </c>
      <c r="AP4" s="329">
        <f t="shared" si="3"/>
        <v>10</v>
      </c>
      <c r="AQ4" s="330">
        <f t="shared" si="4"/>
        <v>2.4</v>
      </c>
      <c r="AR4" s="331" t="e">
        <f t="shared" si="5"/>
        <v>#DIV/0!</v>
      </c>
      <c r="AS4" s="332">
        <f t="shared" si="6"/>
        <v>4.2</v>
      </c>
      <c r="AT4" s="333" t="s">
        <v>1311</v>
      </c>
      <c r="AU4">
        <f t="shared" ref="AU4:AU67" si="7">AG4+AO4</f>
        <v>66</v>
      </c>
    </row>
    <row r="5" spans="1:47" x14ac:dyDescent="0.35">
      <c r="A5" s="306" t="s">
        <v>1294</v>
      </c>
      <c r="B5" s="337" t="s">
        <v>1312</v>
      </c>
      <c r="C5" s="308" t="s">
        <v>1296</v>
      </c>
      <c r="D5" s="334">
        <v>7</v>
      </c>
      <c r="E5" s="398">
        <v>22</v>
      </c>
      <c r="F5" s="310" t="s">
        <v>1313</v>
      </c>
      <c r="G5" s="406" t="s">
        <v>1314</v>
      </c>
      <c r="H5" s="311" t="s">
        <v>1313</v>
      </c>
      <c r="I5" s="312" t="s">
        <v>1315</v>
      </c>
      <c r="J5" s="313" t="s">
        <v>1313</v>
      </c>
      <c r="K5" s="314" t="s">
        <v>1316</v>
      </c>
      <c r="L5" s="315">
        <v>43290</v>
      </c>
      <c r="M5" s="316">
        <v>43302</v>
      </c>
      <c r="N5" s="317" t="s">
        <v>1301</v>
      </c>
      <c r="O5" s="318" t="s">
        <v>1317</v>
      </c>
      <c r="P5" s="319">
        <v>0</v>
      </c>
      <c r="Q5" s="320">
        <v>0</v>
      </c>
      <c r="R5" s="308">
        <v>0</v>
      </c>
      <c r="S5" s="276">
        <v>0</v>
      </c>
      <c r="T5" s="321"/>
      <c r="U5" s="321"/>
      <c r="V5" s="321"/>
      <c r="W5" s="321"/>
      <c r="X5" s="321"/>
      <c r="Y5" s="321"/>
      <c r="Z5" s="321"/>
      <c r="AA5" s="321"/>
      <c r="AB5" s="321"/>
      <c r="AC5" s="321"/>
      <c r="AD5" s="322" t="s">
        <v>1303</v>
      </c>
      <c r="AE5" s="321"/>
      <c r="AF5" s="321"/>
      <c r="AG5" s="325">
        <f t="shared" si="1"/>
        <v>0</v>
      </c>
      <c r="AH5" s="321"/>
      <c r="AI5" s="323"/>
      <c r="AJ5" s="323">
        <v>7</v>
      </c>
      <c r="AK5" s="323">
        <v>12</v>
      </c>
      <c r="AL5" s="323">
        <v>12</v>
      </c>
      <c r="AM5" s="327">
        <f t="shared" si="2"/>
        <v>31</v>
      </c>
      <c r="AN5" s="336">
        <v>11</v>
      </c>
      <c r="AO5" s="329">
        <f>T5+V5+X5+Z5+AB5+AE5+AM5</f>
        <v>31</v>
      </c>
      <c r="AP5" s="329">
        <f t="shared" si="3"/>
        <v>11</v>
      </c>
      <c r="AQ5" s="331" t="e">
        <f t="shared" si="4"/>
        <v>#DIV/0!</v>
      </c>
      <c r="AR5" s="330">
        <f t="shared" si="5"/>
        <v>2.8181818181818183</v>
      </c>
      <c r="AS5" s="332">
        <f t="shared" si="6"/>
        <v>2.8181818181818183</v>
      </c>
      <c r="AT5" s="333"/>
      <c r="AU5">
        <f t="shared" si="7"/>
        <v>31</v>
      </c>
    </row>
    <row r="6" spans="1:47" x14ac:dyDescent="0.35">
      <c r="A6" s="306" t="s">
        <v>1294</v>
      </c>
      <c r="B6" s="337" t="s">
        <v>1312</v>
      </c>
      <c r="C6" s="308" t="s">
        <v>1296</v>
      </c>
      <c r="D6" s="334">
        <v>7</v>
      </c>
      <c r="E6" s="398">
        <v>35</v>
      </c>
      <c r="F6" s="310" t="s">
        <v>1318</v>
      </c>
      <c r="G6" s="406">
        <v>35334</v>
      </c>
      <c r="H6" s="311" t="s">
        <v>1319</v>
      </c>
      <c r="I6" s="312" t="s">
        <v>1320</v>
      </c>
      <c r="J6" s="313" t="s">
        <v>1318</v>
      </c>
      <c r="K6" s="314" t="s">
        <v>1321</v>
      </c>
      <c r="L6" s="315">
        <v>43290</v>
      </c>
      <c r="M6" s="316">
        <v>43302</v>
      </c>
      <c r="N6" s="317" t="s">
        <v>1301</v>
      </c>
      <c r="O6" s="318" t="s">
        <v>1322</v>
      </c>
      <c r="P6" s="319">
        <v>0</v>
      </c>
      <c r="Q6" s="320">
        <v>0</v>
      </c>
      <c r="R6" s="308">
        <v>0</v>
      </c>
      <c r="S6" s="276">
        <v>0</v>
      </c>
      <c r="T6" s="321"/>
      <c r="U6" s="321"/>
      <c r="V6" s="321"/>
      <c r="W6" s="321"/>
      <c r="X6" s="321"/>
      <c r="Y6" s="321"/>
      <c r="Z6" s="321"/>
      <c r="AA6" s="321"/>
      <c r="AB6" s="321"/>
      <c r="AC6" s="321"/>
      <c r="AD6" s="322" t="s">
        <v>1303</v>
      </c>
      <c r="AE6" s="321"/>
      <c r="AF6" s="321"/>
      <c r="AG6" s="325">
        <f t="shared" si="1"/>
        <v>0</v>
      </c>
      <c r="AH6" s="321"/>
      <c r="AI6" s="323">
        <v>6</v>
      </c>
      <c r="AJ6" s="323">
        <v>8</v>
      </c>
      <c r="AK6" s="323">
        <v>10</v>
      </c>
      <c r="AL6" s="323">
        <v>12</v>
      </c>
      <c r="AM6" s="327">
        <f t="shared" si="2"/>
        <v>36</v>
      </c>
      <c r="AN6" s="336">
        <v>16</v>
      </c>
      <c r="AO6" s="329">
        <f>T6+V6+X6+Z6+AB6+AE6+AM6</f>
        <v>36</v>
      </c>
      <c r="AP6" s="329">
        <f t="shared" si="3"/>
        <v>16</v>
      </c>
      <c r="AQ6" s="331" t="e">
        <f t="shared" si="4"/>
        <v>#DIV/0!</v>
      </c>
      <c r="AR6" s="330">
        <f t="shared" si="5"/>
        <v>2.25</v>
      </c>
      <c r="AS6" s="332">
        <f t="shared" si="6"/>
        <v>2.25</v>
      </c>
      <c r="AT6" s="333"/>
      <c r="AU6">
        <f t="shared" si="7"/>
        <v>36</v>
      </c>
    </row>
    <row r="7" spans="1:47" x14ac:dyDescent="0.35">
      <c r="A7" s="306" t="s">
        <v>1294</v>
      </c>
      <c r="B7" s="307" t="s">
        <v>1295</v>
      </c>
      <c r="C7" s="308" t="s">
        <v>1296</v>
      </c>
      <c r="D7" s="338">
        <v>8</v>
      </c>
      <c r="E7" s="398">
        <v>29</v>
      </c>
      <c r="F7" s="310" t="s">
        <v>1323</v>
      </c>
      <c r="G7" s="406" t="s">
        <v>1324</v>
      </c>
      <c r="H7" s="335" t="s">
        <v>1323</v>
      </c>
      <c r="I7" s="312">
        <v>29710</v>
      </c>
      <c r="J7" s="313" t="s">
        <v>1325</v>
      </c>
      <c r="K7" s="314" t="s">
        <v>1326</v>
      </c>
      <c r="L7" s="339">
        <v>43311</v>
      </c>
      <c r="M7" s="340">
        <v>43330</v>
      </c>
      <c r="N7" s="317" t="s">
        <v>1301</v>
      </c>
      <c r="O7" s="318" t="s">
        <v>1327</v>
      </c>
      <c r="P7" s="319">
        <v>0</v>
      </c>
      <c r="Q7" s="320">
        <v>0</v>
      </c>
      <c r="R7" s="308">
        <v>0</v>
      </c>
      <c r="S7" s="276">
        <v>0</v>
      </c>
      <c r="T7" s="321"/>
      <c r="U7" s="321"/>
      <c r="V7" s="321"/>
      <c r="W7" s="321"/>
      <c r="X7" s="321"/>
      <c r="Y7" s="321"/>
      <c r="Z7" s="321"/>
      <c r="AA7" s="321"/>
      <c r="AB7" s="321"/>
      <c r="AC7" s="321"/>
      <c r="AD7" s="322" t="s">
        <v>1303</v>
      </c>
      <c r="AE7" s="323"/>
      <c r="AF7" s="324">
        <v>24</v>
      </c>
      <c r="AG7" s="325">
        <f t="shared" si="1"/>
        <v>24</v>
      </c>
      <c r="AH7" s="326">
        <v>7</v>
      </c>
      <c r="AI7" s="321"/>
      <c r="AJ7" s="321"/>
      <c r="AK7" s="321"/>
      <c r="AL7" s="321"/>
      <c r="AM7" s="327">
        <f t="shared" si="2"/>
        <v>0</v>
      </c>
      <c r="AN7" s="328"/>
      <c r="AO7" s="329">
        <f t="shared" ref="AO7:AO15" si="8">T7+V7+X7+Z7+AB7+AG7+AF7</f>
        <v>48</v>
      </c>
      <c r="AP7" s="329">
        <f t="shared" si="3"/>
        <v>7</v>
      </c>
      <c r="AQ7" s="330">
        <f t="shared" si="4"/>
        <v>3.4285714285714284</v>
      </c>
      <c r="AR7" s="331" t="e">
        <f t="shared" si="5"/>
        <v>#DIV/0!</v>
      </c>
      <c r="AS7" s="332">
        <f t="shared" si="6"/>
        <v>6.8571428571428568</v>
      </c>
      <c r="AT7" s="333" t="s">
        <v>1328</v>
      </c>
      <c r="AU7">
        <f t="shared" si="7"/>
        <v>72</v>
      </c>
    </row>
    <row r="8" spans="1:47" x14ac:dyDescent="0.35">
      <c r="A8" s="306" t="s">
        <v>1294</v>
      </c>
      <c r="B8" s="307" t="s">
        <v>1295</v>
      </c>
      <c r="C8" s="308" t="s">
        <v>1296</v>
      </c>
      <c r="D8" s="338">
        <v>8</v>
      </c>
      <c r="E8" s="398">
        <v>29</v>
      </c>
      <c r="F8" s="310" t="s">
        <v>1297</v>
      </c>
      <c r="G8" s="406" t="s">
        <v>1298</v>
      </c>
      <c r="H8" s="335" t="s">
        <v>1299</v>
      </c>
      <c r="I8" s="312">
        <v>29430</v>
      </c>
      <c r="J8" s="313" t="s">
        <v>1297</v>
      </c>
      <c r="K8" s="314" t="s">
        <v>1300</v>
      </c>
      <c r="L8" s="339">
        <v>43311</v>
      </c>
      <c r="M8" s="340">
        <v>43330</v>
      </c>
      <c r="N8" s="317" t="s">
        <v>1301</v>
      </c>
      <c r="O8" s="318" t="s">
        <v>1317</v>
      </c>
      <c r="P8" s="319">
        <v>0</v>
      </c>
      <c r="Q8" s="320">
        <v>0</v>
      </c>
      <c r="R8" s="308">
        <v>0</v>
      </c>
      <c r="S8" s="276">
        <v>0</v>
      </c>
      <c r="T8" s="321"/>
      <c r="U8" s="321"/>
      <c r="V8" s="321"/>
      <c r="W8" s="321"/>
      <c r="X8" s="321"/>
      <c r="Y8" s="321"/>
      <c r="Z8" s="321"/>
      <c r="AA8" s="321"/>
      <c r="AB8" s="321"/>
      <c r="AC8" s="321"/>
      <c r="AD8" s="322" t="s">
        <v>1303</v>
      </c>
      <c r="AE8" s="323">
        <v>7</v>
      </c>
      <c r="AF8" s="324">
        <v>17</v>
      </c>
      <c r="AG8" s="325">
        <f t="shared" si="1"/>
        <v>24</v>
      </c>
      <c r="AH8" s="326">
        <v>10</v>
      </c>
      <c r="AI8" s="321"/>
      <c r="AJ8" s="321"/>
      <c r="AK8" s="321"/>
      <c r="AL8" s="321"/>
      <c r="AM8" s="327">
        <f t="shared" si="2"/>
        <v>0</v>
      </c>
      <c r="AN8" s="328"/>
      <c r="AO8" s="329">
        <f t="shared" si="8"/>
        <v>41</v>
      </c>
      <c r="AP8" s="329">
        <f t="shared" si="3"/>
        <v>10</v>
      </c>
      <c r="AQ8" s="330">
        <f t="shared" si="4"/>
        <v>2.4</v>
      </c>
      <c r="AR8" s="331" t="e">
        <f t="shared" si="5"/>
        <v>#DIV/0!</v>
      </c>
      <c r="AS8" s="332">
        <f t="shared" si="6"/>
        <v>4.0999999999999996</v>
      </c>
      <c r="AT8" s="333" t="s">
        <v>1329</v>
      </c>
      <c r="AU8">
        <f t="shared" si="7"/>
        <v>65</v>
      </c>
    </row>
    <row r="9" spans="1:47" ht="24" x14ac:dyDescent="0.35">
      <c r="A9" s="306" t="s">
        <v>1294</v>
      </c>
      <c r="B9" s="307" t="s">
        <v>1295</v>
      </c>
      <c r="C9" s="308" t="s">
        <v>1330</v>
      </c>
      <c r="D9" s="338">
        <v>8</v>
      </c>
      <c r="E9" s="398">
        <v>24</v>
      </c>
      <c r="F9" s="310" t="s">
        <v>1331</v>
      </c>
      <c r="G9" s="407" t="s">
        <v>1332</v>
      </c>
      <c r="H9" s="341" t="s">
        <v>1333</v>
      </c>
      <c r="I9" s="342">
        <v>24480</v>
      </c>
      <c r="J9" s="313" t="s">
        <v>1331</v>
      </c>
      <c r="K9" s="314" t="s">
        <v>1334</v>
      </c>
      <c r="L9" s="339">
        <v>43311</v>
      </c>
      <c r="M9" s="340">
        <v>43330</v>
      </c>
      <c r="N9" s="317" t="s">
        <v>1301</v>
      </c>
      <c r="O9" s="318" t="s">
        <v>1335</v>
      </c>
      <c r="P9" s="319">
        <v>0</v>
      </c>
      <c r="Q9" s="320">
        <v>0</v>
      </c>
      <c r="R9" s="308">
        <v>0</v>
      </c>
      <c r="S9" s="276">
        <v>0</v>
      </c>
      <c r="T9" s="321"/>
      <c r="U9" s="321"/>
      <c r="V9" s="321"/>
      <c r="W9" s="321"/>
      <c r="X9" s="321"/>
      <c r="Y9" s="321"/>
      <c r="Z9" s="321"/>
      <c r="AA9" s="321"/>
      <c r="AB9" s="321"/>
      <c r="AC9" s="321"/>
      <c r="AD9" s="322" t="s">
        <v>1303</v>
      </c>
      <c r="AE9" s="323">
        <v>14</v>
      </c>
      <c r="AF9" s="324">
        <v>0</v>
      </c>
      <c r="AG9" s="325">
        <f t="shared" si="1"/>
        <v>14</v>
      </c>
      <c r="AH9" s="326">
        <v>3</v>
      </c>
      <c r="AI9" s="321"/>
      <c r="AJ9" s="321"/>
      <c r="AK9" s="321"/>
      <c r="AL9" s="321"/>
      <c r="AM9" s="327">
        <f t="shared" si="2"/>
        <v>0</v>
      </c>
      <c r="AN9" s="328"/>
      <c r="AO9" s="329">
        <f t="shared" si="8"/>
        <v>14</v>
      </c>
      <c r="AP9" s="329">
        <f t="shared" si="3"/>
        <v>3</v>
      </c>
      <c r="AQ9" s="330">
        <f t="shared" si="4"/>
        <v>4.666666666666667</v>
      </c>
      <c r="AR9" s="331" t="e">
        <f t="shared" si="5"/>
        <v>#DIV/0!</v>
      </c>
      <c r="AS9" s="332">
        <f t="shared" si="6"/>
        <v>4.666666666666667</v>
      </c>
      <c r="AT9" s="333" t="s">
        <v>1336</v>
      </c>
      <c r="AU9">
        <f t="shared" si="7"/>
        <v>28</v>
      </c>
    </row>
    <row r="10" spans="1:47" x14ac:dyDescent="0.35">
      <c r="A10" s="306" t="s">
        <v>1294</v>
      </c>
      <c r="B10" s="307" t="s">
        <v>1295</v>
      </c>
      <c r="C10" s="308" t="s">
        <v>1305</v>
      </c>
      <c r="D10" s="338">
        <v>8</v>
      </c>
      <c r="E10" s="398">
        <v>14</v>
      </c>
      <c r="F10" s="310" t="s">
        <v>1337</v>
      </c>
      <c r="G10" s="407" t="s">
        <v>1338</v>
      </c>
      <c r="H10" s="341" t="s">
        <v>1337</v>
      </c>
      <c r="I10" s="312">
        <v>14400</v>
      </c>
      <c r="J10" s="313" t="s">
        <v>1339</v>
      </c>
      <c r="K10" s="343" t="s">
        <v>1340</v>
      </c>
      <c r="L10" s="339">
        <v>43311</v>
      </c>
      <c r="M10" s="340">
        <v>43330</v>
      </c>
      <c r="N10" s="317" t="s">
        <v>1301</v>
      </c>
      <c r="O10" s="318" t="s">
        <v>1341</v>
      </c>
      <c r="P10" s="319">
        <v>0</v>
      </c>
      <c r="Q10" s="320">
        <v>0</v>
      </c>
      <c r="R10" s="308">
        <v>0</v>
      </c>
      <c r="S10" s="276">
        <v>0</v>
      </c>
      <c r="T10" s="321"/>
      <c r="U10" s="321"/>
      <c r="V10" s="321"/>
      <c r="W10" s="321"/>
      <c r="X10" s="321"/>
      <c r="Y10" s="321"/>
      <c r="Z10" s="321"/>
      <c r="AA10" s="321"/>
      <c r="AB10" s="321"/>
      <c r="AC10" s="321"/>
      <c r="AD10" s="322" t="s">
        <v>1303</v>
      </c>
      <c r="AE10" s="323">
        <v>21</v>
      </c>
      <c r="AF10" s="324">
        <v>0</v>
      </c>
      <c r="AG10" s="325">
        <f t="shared" si="1"/>
        <v>21</v>
      </c>
      <c r="AH10" s="326">
        <v>5</v>
      </c>
      <c r="AI10" s="321"/>
      <c r="AJ10" s="321"/>
      <c r="AK10" s="321"/>
      <c r="AL10" s="321"/>
      <c r="AM10" s="327">
        <f t="shared" si="2"/>
        <v>0</v>
      </c>
      <c r="AN10" s="328"/>
      <c r="AO10" s="329">
        <f t="shared" si="8"/>
        <v>21</v>
      </c>
      <c r="AP10" s="329">
        <f t="shared" si="3"/>
        <v>5</v>
      </c>
      <c r="AQ10" s="330">
        <f t="shared" si="4"/>
        <v>4.2</v>
      </c>
      <c r="AR10" s="331" t="e">
        <f t="shared" si="5"/>
        <v>#DIV/0!</v>
      </c>
      <c r="AS10" s="332">
        <f t="shared" si="6"/>
        <v>4.2</v>
      </c>
      <c r="AT10" s="333" t="s">
        <v>1342</v>
      </c>
      <c r="AU10">
        <f t="shared" si="7"/>
        <v>42</v>
      </c>
    </row>
    <row r="11" spans="1:47" x14ac:dyDescent="0.35">
      <c r="A11" s="306" t="s">
        <v>1294</v>
      </c>
      <c r="B11" s="307" t="s">
        <v>1295</v>
      </c>
      <c r="C11" s="308" t="s">
        <v>1305</v>
      </c>
      <c r="D11" s="338">
        <v>8</v>
      </c>
      <c r="E11" s="398">
        <v>14</v>
      </c>
      <c r="F11" s="310" t="s">
        <v>1343</v>
      </c>
      <c r="G11" s="406" t="s">
        <v>1344</v>
      </c>
      <c r="H11" s="335" t="s">
        <v>1345</v>
      </c>
      <c r="I11" s="312">
        <v>14450</v>
      </c>
      <c r="J11" s="313" t="s">
        <v>1346</v>
      </c>
      <c r="K11" s="343" t="s">
        <v>1347</v>
      </c>
      <c r="L11" s="339">
        <v>43311</v>
      </c>
      <c r="M11" s="344">
        <v>43336</v>
      </c>
      <c r="N11" s="317" t="s">
        <v>1301</v>
      </c>
      <c r="O11" s="318" t="s">
        <v>1348</v>
      </c>
      <c r="P11" s="319">
        <v>0</v>
      </c>
      <c r="Q11" s="320">
        <v>0</v>
      </c>
      <c r="R11" s="308">
        <v>0</v>
      </c>
      <c r="S11" s="276">
        <v>0</v>
      </c>
      <c r="T11" s="321"/>
      <c r="U11" s="321"/>
      <c r="V11" s="321"/>
      <c r="W11" s="321"/>
      <c r="X11" s="321"/>
      <c r="Y11" s="321"/>
      <c r="Z11" s="321"/>
      <c r="AA11" s="321"/>
      <c r="AB11" s="321"/>
      <c r="AC11" s="321"/>
      <c r="AD11" s="322" t="s">
        <v>1303</v>
      </c>
      <c r="AE11" s="323">
        <v>6</v>
      </c>
      <c r="AF11" s="324">
        <v>18</v>
      </c>
      <c r="AG11" s="325">
        <f t="shared" si="1"/>
        <v>24</v>
      </c>
      <c r="AH11" s="326">
        <v>6</v>
      </c>
      <c r="AI11" s="321"/>
      <c r="AJ11" s="321"/>
      <c r="AK11" s="321"/>
      <c r="AL11" s="321"/>
      <c r="AM11" s="327">
        <f t="shared" si="2"/>
        <v>0</v>
      </c>
      <c r="AN11" s="328"/>
      <c r="AO11" s="329">
        <f t="shared" si="8"/>
        <v>42</v>
      </c>
      <c r="AP11" s="329">
        <f t="shared" si="3"/>
        <v>6</v>
      </c>
      <c r="AQ11" s="330">
        <f t="shared" si="4"/>
        <v>4</v>
      </c>
      <c r="AR11" s="331" t="e">
        <f t="shared" si="5"/>
        <v>#DIV/0!</v>
      </c>
      <c r="AS11" s="332">
        <f t="shared" si="6"/>
        <v>7</v>
      </c>
      <c r="AT11" s="333" t="s">
        <v>1349</v>
      </c>
      <c r="AU11">
        <f t="shared" si="7"/>
        <v>66</v>
      </c>
    </row>
    <row r="12" spans="1:47" x14ac:dyDescent="0.35">
      <c r="A12" s="306" t="s">
        <v>1294</v>
      </c>
      <c r="B12" s="307" t="s">
        <v>1295</v>
      </c>
      <c r="C12" s="308" t="s">
        <v>1305</v>
      </c>
      <c r="D12" s="338">
        <v>8</v>
      </c>
      <c r="E12" s="398">
        <v>61</v>
      </c>
      <c r="F12" s="310" t="s">
        <v>1350</v>
      </c>
      <c r="G12" s="406" t="s">
        <v>1351</v>
      </c>
      <c r="H12" s="335" t="s">
        <v>1352</v>
      </c>
      <c r="I12" s="312" t="s">
        <v>1353</v>
      </c>
      <c r="J12" s="313" t="s">
        <v>1352</v>
      </c>
      <c r="K12" s="314" t="s">
        <v>1354</v>
      </c>
      <c r="L12" s="339">
        <v>43311</v>
      </c>
      <c r="M12" s="340">
        <v>43330</v>
      </c>
      <c r="N12" s="317" t="s">
        <v>1301</v>
      </c>
      <c r="O12" s="318" t="s">
        <v>1355</v>
      </c>
      <c r="P12" s="319">
        <v>0</v>
      </c>
      <c r="Q12" s="320">
        <v>0</v>
      </c>
      <c r="R12" s="308">
        <v>0</v>
      </c>
      <c r="S12" s="276">
        <v>0</v>
      </c>
      <c r="T12" s="321"/>
      <c r="U12" s="321"/>
      <c r="V12" s="321"/>
      <c r="W12" s="321"/>
      <c r="X12" s="321"/>
      <c r="Y12" s="321"/>
      <c r="Z12" s="321"/>
      <c r="AA12" s="321"/>
      <c r="AB12" s="321"/>
      <c r="AC12" s="321"/>
      <c r="AD12" s="322" t="s">
        <v>1303</v>
      </c>
      <c r="AE12" s="323">
        <v>7</v>
      </c>
      <c r="AF12" s="324">
        <v>14</v>
      </c>
      <c r="AG12" s="325">
        <f t="shared" si="1"/>
        <v>21</v>
      </c>
      <c r="AH12" s="326">
        <v>5</v>
      </c>
      <c r="AI12" s="321"/>
      <c r="AJ12" s="321"/>
      <c r="AK12" s="321"/>
      <c r="AL12" s="321"/>
      <c r="AM12" s="327">
        <f t="shared" si="2"/>
        <v>0</v>
      </c>
      <c r="AN12" s="328"/>
      <c r="AO12" s="329">
        <f t="shared" si="8"/>
        <v>35</v>
      </c>
      <c r="AP12" s="329">
        <f t="shared" si="3"/>
        <v>5</v>
      </c>
      <c r="AQ12" s="330">
        <f t="shared" si="4"/>
        <v>4.2</v>
      </c>
      <c r="AR12" s="331" t="e">
        <f t="shared" si="5"/>
        <v>#DIV/0!</v>
      </c>
      <c r="AS12" s="332">
        <f t="shared" si="6"/>
        <v>7</v>
      </c>
      <c r="AT12" s="333" t="s">
        <v>1356</v>
      </c>
      <c r="AU12">
        <f t="shared" si="7"/>
        <v>56</v>
      </c>
    </row>
    <row r="13" spans="1:47" x14ac:dyDescent="0.35">
      <c r="A13" s="306" t="s">
        <v>1294</v>
      </c>
      <c r="B13" s="307" t="s">
        <v>1295</v>
      </c>
      <c r="C13" s="308" t="s">
        <v>1357</v>
      </c>
      <c r="D13" s="338">
        <v>8</v>
      </c>
      <c r="E13" s="398">
        <v>12</v>
      </c>
      <c r="F13" s="310" t="s">
        <v>1358</v>
      </c>
      <c r="G13" s="406" t="s">
        <v>1359</v>
      </c>
      <c r="H13" s="335" t="s">
        <v>1358</v>
      </c>
      <c r="I13" s="312">
        <v>12520</v>
      </c>
      <c r="J13" s="313" t="s">
        <v>1360</v>
      </c>
      <c r="K13" s="314" t="s">
        <v>1361</v>
      </c>
      <c r="L13" s="339">
        <v>43311</v>
      </c>
      <c r="M13" s="340">
        <v>43330</v>
      </c>
      <c r="N13" s="317" t="s">
        <v>1301</v>
      </c>
      <c r="O13" s="318" t="s">
        <v>1362</v>
      </c>
      <c r="P13" s="319">
        <v>0</v>
      </c>
      <c r="Q13" s="320">
        <v>0</v>
      </c>
      <c r="R13" s="308">
        <v>0</v>
      </c>
      <c r="S13" s="276">
        <v>0</v>
      </c>
      <c r="T13" s="321"/>
      <c r="U13" s="321"/>
      <c r="V13" s="321"/>
      <c r="W13" s="321"/>
      <c r="X13" s="321"/>
      <c r="Y13" s="321"/>
      <c r="Z13" s="321"/>
      <c r="AA13" s="321"/>
      <c r="AB13" s="321"/>
      <c r="AC13" s="321"/>
      <c r="AD13" s="322" t="s">
        <v>1303</v>
      </c>
      <c r="AE13" s="323">
        <v>13</v>
      </c>
      <c r="AF13" s="324">
        <v>0</v>
      </c>
      <c r="AG13" s="325">
        <f t="shared" si="1"/>
        <v>13</v>
      </c>
      <c r="AH13" s="326">
        <v>3</v>
      </c>
      <c r="AI13" s="321"/>
      <c r="AJ13" s="321"/>
      <c r="AK13" s="321"/>
      <c r="AL13" s="321"/>
      <c r="AM13" s="327">
        <f t="shared" si="2"/>
        <v>0</v>
      </c>
      <c r="AN13" s="328"/>
      <c r="AO13" s="329">
        <f t="shared" si="8"/>
        <v>13</v>
      </c>
      <c r="AP13" s="329">
        <f t="shared" si="3"/>
        <v>3</v>
      </c>
      <c r="AQ13" s="330">
        <f t="shared" si="4"/>
        <v>4.333333333333333</v>
      </c>
      <c r="AR13" s="331" t="e">
        <f t="shared" si="5"/>
        <v>#DIV/0!</v>
      </c>
      <c r="AS13" s="332">
        <f t="shared" si="6"/>
        <v>4.333333333333333</v>
      </c>
      <c r="AT13" s="333" t="s">
        <v>1363</v>
      </c>
      <c r="AU13">
        <f t="shared" si="7"/>
        <v>26</v>
      </c>
    </row>
    <row r="14" spans="1:47" x14ac:dyDescent="0.35">
      <c r="A14" s="306" t="s">
        <v>1294</v>
      </c>
      <c r="B14" s="307" t="s">
        <v>1295</v>
      </c>
      <c r="C14" s="308" t="s">
        <v>1364</v>
      </c>
      <c r="D14" s="338">
        <v>8</v>
      </c>
      <c r="E14" s="398">
        <v>49</v>
      </c>
      <c r="F14" s="310" t="s">
        <v>1365</v>
      </c>
      <c r="G14" s="406" t="s">
        <v>1366</v>
      </c>
      <c r="H14" s="335" t="s">
        <v>1365</v>
      </c>
      <c r="I14" s="312">
        <v>49120</v>
      </c>
      <c r="J14" s="313" t="s">
        <v>1365</v>
      </c>
      <c r="K14" s="314" t="s">
        <v>1367</v>
      </c>
      <c r="L14" s="339">
        <v>43311</v>
      </c>
      <c r="M14" s="340">
        <v>43330</v>
      </c>
      <c r="N14" s="317" t="s">
        <v>1301</v>
      </c>
      <c r="O14" s="318" t="s">
        <v>1368</v>
      </c>
      <c r="P14" s="319">
        <v>0</v>
      </c>
      <c r="Q14" s="320">
        <v>0</v>
      </c>
      <c r="R14" s="308">
        <v>0</v>
      </c>
      <c r="S14" s="276">
        <v>0</v>
      </c>
      <c r="T14" s="321"/>
      <c r="U14" s="321"/>
      <c r="V14" s="321"/>
      <c r="W14" s="321"/>
      <c r="X14" s="321"/>
      <c r="Y14" s="321"/>
      <c r="Z14" s="321"/>
      <c r="AA14" s="321"/>
      <c r="AB14" s="321"/>
      <c r="AC14" s="321"/>
      <c r="AD14" s="322" t="s">
        <v>1303</v>
      </c>
      <c r="AE14" s="323"/>
      <c r="AF14" s="324">
        <v>24</v>
      </c>
      <c r="AG14" s="325">
        <f t="shared" si="1"/>
        <v>24</v>
      </c>
      <c r="AH14" s="326">
        <v>10</v>
      </c>
      <c r="AI14" s="321"/>
      <c r="AJ14" s="321"/>
      <c r="AK14" s="321"/>
      <c r="AL14" s="321"/>
      <c r="AM14" s="327">
        <f t="shared" si="2"/>
        <v>0</v>
      </c>
      <c r="AN14" s="328"/>
      <c r="AO14" s="329">
        <f t="shared" si="8"/>
        <v>48</v>
      </c>
      <c r="AP14" s="329">
        <f t="shared" si="3"/>
        <v>10</v>
      </c>
      <c r="AQ14" s="330">
        <f t="shared" si="4"/>
        <v>2.4</v>
      </c>
      <c r="AR14" s="331" t="e">
        <f t="shared" si="5"/>
        <v>#DIV/0!</v>
      </c>
      <c r="AS14" s="332">
        <f t="shared" si="6"/>
        <v>4.8</v>
      </c>
      <c r="AT14" s="333" t="s">
        <v>1369</v>
      </c>
      <c r="AU14">
        <f t="shared" si="7"/>
        <v>72</v>
      </c>
    </row>
    <row r="15" spans="1:47" x14ac:dyDescent="0.35">
      <c r="A15" s="306" t="s">
        <v>1294</v>
      </c>
      <c r="B15" s="307" t="s">
        <v>1295</v>
      </c>
      <c r="C15" s="308" t="s">
        <v>1364</v>
      </c>
      <c r="D15" s="338">
        <v>8</v>
      </c>
      <c r="E15" s="398">
        <v>85</v>
      </c>
      <c r="F15" s="310" t="s">
        <v>1370</v>
      </c>
      <c r="G15" s="406" t="s">
        <v>1371</v>
      </c>
      <c r="H15" s="335" t="s">
        <v>1372</v>
      </c>
      <c r="I15" s="342">
        <v>85270</v>
      </c>
      <c r="J15" s="313" t="s">
        <v>1370</v>
      </c>
      <c r="K15" s="314" t="s">
        <v>1373</v>
      </c>
      <c r="L15" s="339">
        <v>43311</v>
      </c>
      <c r="M15" s="340">
        <v>43330</v>
      </c>
      <c r="N15" s="317" t="s">
        <v>1301</v>
      </c>
      <c r="O15" s="318" t="s">
        <v>1374</v>
      </c>
      <c r="P15" s="319">
        <v>0</v>
      </c>
      <c r="Q15" s="320">
        <v>0</v>
      </c>
      <c r="R15" s="308">
        <v>0</v>
      </c>
      <c r="S15" s="276">
        <v>0</v>
      </c>
      <c r="T15" s="321"/>
      <c r="U15" s="321"/>
      <c r="V15" s="321"/>
      <c r="W15" s="321"/>
      <c r="X15" s="321"/>
      <c r="Y15" s="321"/>
      <c r="Z15" s="321"/>
      <c r="AA15" s="321"/>
      <c r="AB15" s="321"/>
      <c r="AC15" s="321"/>
      <c r="AD15" s="322" t="s">
        <v>1303</v>
      </c>
      <c r="AE15" s="323">
        <v>7</v>
      </c>
      <c r="AF15" s="324">
        <v>8</v>
      </c>
      <c r="AG15" s="325">
        <f t="shared" si="1"/>
        <v>15</v>
      </c>
      <c r="AH15" s="326">
        <v>15</v>
      </c>
      <c r="AI15" s="321"/>
      <c r="AJ15" s="321"/>
      <c r="AK15" s="321"/>
      <c r="AL15" s="321"/>
      <c r="AM15" s="327">
        <f t="shared" si="2"/>
        <v>0</v>
      </c>
      <c r="AN15" s="328"/>
      <c r="AO15" s="329">
        <f t="shared" si="8"/>
        <v>23</v>
      </c>
      <c r="AP15" s="329">
        <f t="shared" si="3"/>
        <v>15</v>
      </c>
      <c r="AQ15" s="330">
        <f t="shared" si="4"/>
        <v>1</v>
      </c>
      <c r="AR15" s="331" t="e">
        <f t="shared" si="5"/>
        <v>#DIV/0!</v>
      </c>
      <c r="AS15" s="332">
        <f t="shared" si="6"/>
        <v>1.5333333333333334</v>
      </c>
      <c r="AT15" s="333" t="s">
        <v>1375</v>
      </c>
      <c r="AU15">
        <f t="shared" si="7"/>
        <v>38</v>
      </c>
    </row>
    <row r="16" spans="1:47" x14ac:dyDescent="0.35">
      <c r="A16" s="306" t="s">
        <v>1294</v>
      </c>
      <c r="B16" s="337" t="s">
        <v>1312</v>
      </c>
      <c r="C16" s="308" t="s">
        <v>1376</v>
      </c>
      <c r="D16" s="338">
        <v>8</v>
      </c>
      <c r="E16" s="398">
        <v>67</v>
      </c>
      <c r="F16" s="310" t="s">
        <v>1377</v>
      </c>
      <c r="G16" s="406" t="s">
        <v>1378</v>
      </c>
      <c r="H16" s="335" t="s">
        <v>1377</v>
      </c>
      <c r="I16" s="312" t="s">
        <v>1379</v>
      </c>
      <c r="J16" s="313" t="s">
        <v>1377</v>
      </c>
      <c r="K16" s="314" t="s">
        <v>1380</v>
      </c>
      <c r="L16" s="339">
        <v>43311</v>
      </c>
      <c r="M16" s="340">
        <v>43330</v>
      </c>
      <c r="N16" s="317" t="s">
        <v>1301</v>
      </c>
      <c r="O16" s="318" t="s">
        <v>1381</v>
      </c>
      <c r="P16" s="319">
        <v>0</v>
      </c>
      <c r="Q16" s="320">
        <v>0</v>
      </c>
      <c r="R16" s="308">
        <v>0</v>
      </c>
      <c r="S16" s="276">
        <v>0</v>
      </c>
      <c r="T16" s="321"/>
      <c r="U16" s="321"/>
      <c r="V16" s="321"/>
      <c r="W16" s="321"/>
      <c r="X16" s="321"/>
      <c r="Y16" s="321"/>
      <c r="Z16" s="321"/>
      <c r="AA16" s="321"/>
      <c r="AB16" s="321"/>
      <c r="AC16" s="321"/>
      <c r="AD16" s="322" t="s">
        <v>1303</v>
      </c>
      <c r="AE16" s="321"/>
      <c r="AF16" s="321"/>
      <c r="AG16" s="325">
        <f t="shared" si="1"/>
        <v>0</v>
      </c>
      <c r="AH16" s="321"/>
      <c r="AI16" s="323"/>
      <c r="AJ16" s="323">
        <v>7</v>
      </c>
      <c r="AK16" s="323">
        <v>8</v>
      </c>
      <c r="AL16" s="323">
        <v>9</v>
      </c>
      <c r="AM16" s="327">
        <f t="shared" si="2"/>
        <v>24</v>
      </c>
      <c r="AN16" s="336">
        <v>11</v>
      </c>
      <c r="AO16" s="329">
        <f t="shared" ref="AO16:AO27" si="9">T16+V16+X16+Z16+AB16+AE16+AM16</f>
        <v>24</v>
      </c>
      <c r="AP16" s="329">
        <f t="shared" si="3"/>
        <v>11</v>
      </c>
      <c r="AQ16" s="331" t="e">
        <f t="shared" si="4"/>
        <v>#DIV/0!</v>
      </c>
      <c r="AR16" s="330">
        <f t="shared" si="5"/>
        <v>2.1818181818181817</v>
      </c>
      <c r="AS16" s="332">
        <f t="shared" si="6"/>
        <v>2.1818181818181817</v>
      </c>
      <c r="AT16" s="333"/>
      <c r="AU16">
        <f t="shared" si="7"/>
        <v>24</v>
      </c>
    </row>
    <row r="17" spans="1:47" ht="24" x14ac:dyDescent="0.35">
      <c r="A17" s="306" t="s">
        <v>1294</v>
      </c>
      <c r="B17" s="337" t="s">
        <v>1312</v>
      </c>
      <c r="C17" s="308" t="s">
        <v>1382</v>
      </c>
      <c r="D17" s="338">
        <v>8</v>
      </c>
      <c r="E17" s="398">
        <v>63</v>
      </c>
      <c r="F17" s="310" t="s">
        <v>1383</v>
      </c>
      <c r="G17" s="407">
        <v>63463</v>
      </c>
      <c r="H17" s="341" t="s">
        <v>1384</v>
      </c>
      <c r="I17" s="312">
        <v>63250</v>
      </c>
      <c r="J17" s="313" t="s">
        <v>1383</v>
      </c>
      <c r="K17" s="314" t="s">
        <v>1385</v>
      </c>
      <c r="L17" s="339">
        <v>43311</v>
      </c>
      <c r="M17" s="340">
        <v>43330</v>
      </c>
      <c r="N17" s="317" t="s">
        <v>1301</v>
      </c>
      <c r="O17" s="318" t="s">
        <v>1386</v>
      </c>
      <c r="P17" s="319">
        <v>0</v>
      </c>
      <c r="Q17" s="320">
        <v>0</v>
      </c>
      <c r="R17" s="308">
        <v>0</v>
      </c>
      <c r="S17" s="276">
        <v>0</v>
      </c>
      <c r="T17" s="321"/>
      <c r="U17" s="321"/>
      <c r="V17" s="321"/>
      <c r="W17" s="321"/>
      <c r="X17" s="321"/>
      <c r="Y17" s="321"/>
      <c r="Z17" s="321"/>
      <c r="AA17" s="321"/>
      <c r="AB17" s="321"/>
      <c r="AC17" s="321"/>
      <c r="AD17" s="322" t="s">
        <v>1303</v>
      </c>
      <c r="AE17" s="321"/>
      <c r="AF17" s="321"/>
      <c r="AG17" s="325">
        <f t="shared" si="1"/>
        <v>0</v>
      </c>
      <c r="AH17" s="321"/>
      <c r="AI17" s="323"/>
      <c r="AJ17" s="323"/>
      <c r="AK17" s="323">
        <v>14</v>
      </c>
      <c r="AL17" s="323">
        <v>14</v>
      </c>
      <c r="AM17" s="327">
        <f t="shared" si="2"/>
        <v>28</v>
      </c>
      <c r="AN17" s="336">
        <v>13</v>
      </c>
      <c r="AO17" s="329">
        <f t="shared" si="9"/>
        <v>28</v>
      </c>
      <c r="AP17" s="329">
        <f t="shared" si="3"/>
        <v>13</v>
      </c>
      <c r="AQ17" s="331" t="e">
        <f t="shared" si="4"/>
        <v>#DIV/0!</v>
      </c>
      <c r="AR17" s="330">
        <f t="shared" si="5"/>
        <v>2.1538461538461537</v>
      </c>
      <c r="AS17" s="332">
        <f t="shared" si="6"/>
        <v>2.1538461538461537</v>
      </c>
      <c r="AT17" s="333"/>
      <c r="AU17">
        <f t="shared" si="7"/>
        <v>28</v>
      </c>
    </row>
    <row r="18" spans="1:47" ht="24" x14ac:dyDescent="0.35">
      <c r="A18" s="306" t="s">
        <v>1294</v>
      </c>
      <c r="B18" s="337" t="s">
        <v>1312</v>
      </c>
      <c r="C18" s="308" t="s">
        <v>1382</v>
      </c>
      <c r="D18" s="338">
        <v>8</v>
      </c>
      <c r="E18" s="398">
        <v>73</v>
      </c>
      <c r="F18" s="310" t="s">
        <v>1387</v>
      </c>
      <c r="G18" s="408">
        <v>73306</v>
      </c>
      <c r="H18" s="345" t="s">
        <v>1387</v>
      </c>
      <c r="I18" s="312" t="s">
        <v>1388</v>
      </c>
      <c r="J18" s="346" t="s">
        <v>1387</v>
      </c>
      <c r="K18" s="314" t="s">
        <v>1389</v>
      </c>
      <c r="L18" s="339">
        <v>43311</v>
      </c>
      <c r="M18" s="340">
        <v>43330</v>
      </c>
      <c r="N18" s="317" t="s">
        <v>1301</v>
      </c>
      <c r="O18" s="318" t="s">
        <v>1390</v>
      </c>
      <c r="P18" s="319">
        <v>0</v>
      </c>
      <c r="Q18" s="320">
        <v>0</v>
      </c>
      <c r="R18" s="308">
        <v>0</v>
      </c>
      <c r="S18" s="276">
        <v>0</v>
      </c>
      <c r="T18" s="321"/>
      <c r="U18" s="321"/>
      <c r="V18" s="321"/>
      <c r="W18" s="321"/>
      <c r="X18" s="321"/>
      <c r="Y18" s="321"/>
      <c r="Z18" s="321"/>
      <c r="AA18" s="321"/>
      <c r="AB18" s="321"/>
      <c r="AC18" s="321"/>
      <c r="AD18" s="322" t="s">
        <v>1303</v>
      </c>
      <c r="AE18" s="321"/>
      <c r="AF18" s="321"/>
      <c r="AG18" s="325">
        <f t="shared" si="1"/>
        <v>0</v>
      </c>
      <c r="AH18" s="321"/>
      <c r="AI18" s="323"/>
      <c r="AJ18" s="323"/>
      <c r="AK18" s="323"/>
      <c r="AL18" s="323">
        <v>24</v>
      </c>
      <c r="AM18" s="327">
        <v>24</v>
      </c>
      <c r="AN18" s="336">
        <v>9</v>
      </c>
      <c r="AO18" s="329">
        <f t="shared" si="9"/>
        <v>24</v>
      </c>
      <c r="AP18" s="329">
        <f t="shared" si="3"/>
        <v>9</v>
      </c>
      <c r="AQ18" s="331" t="e">
        <f t="shared" si="4"/>
        <v>#DIV/0!</v>
      </c>
      <c r="AR18" s="330">
        <f t="shared" si="5"/>
        <v>2.6666666666666665</v>
      </c>
      <c r="AS18" s="332">
        <f t="shared" si="6"/>
        <v>2.6666666666666665</v>
      </c>
      <c r="AT18" s="333"/>
      <c r="AU18">
        <f t="shared" si="7"/>
        <v>24</v>
      </c>
    </row>
    <row r="19" spans="1:47" x14ac:dyDescent="0.35">
      <c r="A19" s="306" t="s">
        <v>1294</v>
      </c>
      <c r="B19" s="337" t="s">
        <v>1312</v>
      </c>
      <c r="C19" s="308" t="s">
        <v>1296</v>
      </c>
      <c r="D19" s="338">
        <v>8</v>
      </c>
      <c r="E19" s="398">
        <v>22</v>
      </c>
      <c r="F19" s="310" t="s">
        <v>1313</v>
      </c>
      <c r="G19" s="409" t="s">
        <v>1314</v>
      </c>
      <c r="H19" s="345" t="s">
        <v>1313</v>
      </c>
      <c r="I19" s="312" t="s">
        <v>1315</v>
      </c>
      <c r="J19" s="346" t="s">
        <v>1313</v>
      </c>
      <c r="K19" s="314" t="s">
        <v>1316</v>
      </c>
      <c r="L19" s="339">
        <v>43311</v>
      </c>
      <c r="M19" s="340">
        <v>43330</v>
      </c>
      <c r="N19" s="317" t="s">
        <v>1301</v>
      </c>
      <c r="O19" s="318" t="s">
        <v>1391</v>
      </c>
      <c r="P19" s="319">
        <v>0</v>
      </c>
      <c r="Q19" s="320">
        <v>0</v>
      </c>
      <c r="R19" s="308">
        <v>0</v>
      </c>
      <c r="S19" s="276">
        <v>0</v>
      </c>
      <c r="T19" s="321"/>
      <c r="U19" s="321"/>
      <c r="V19" s="321"/>
      <c r="W19" s="321"/>
      <c r="X19" s="321"/>
      <c r="Y19" s="321"/>
      <c r="Z19" s="321"/>
      <c r="AA19" s="321"/>
      <c r="AB19" s="321"/>
      <c r="AC19" s="321"/>
      <c r="AD19" s="322" t="s">
        <v>1303</v>
      </c>
      <c r="AE19" s="321"/>
      <c r="AF19" s="321"/>
      <c r="AG19" s="325">
        <f t="shared" si="1"/>
        <v>0</v>
      </c>
      <c r="AH19" s="321"/>
      <c r="AI19" s="323"/>
      <c r="AJ19" s="323">
        <v>14</v>
      </c>
      <c r="AK19" s="323">
        <v>14</v>
      </c>
      <c r="AL19" s="323"/>
      <c r="AM19" s="327">
        <f>SUM(AI19:AL19)</f>
        <v>28</v>
      </c>
      <c r="AN19" s="336">
        <f>8+3</f>
        <v>11</v>
      </c>
      <c r="AO19" s="329">
        <f t="shared" si="9"/>
        <v>28</v>
      </c>
      <c r="AP19" s="329">
        <f t="shared" si="3"/>
        <v>11</v>
      </c>
      <c r="AQ19" s="331" t="e">
        <f t="shared" si="4"/>
        <v>#DIV/0!</v>
      </c>
      <c r="AR19" s="330">
        <f t="shared" si="5"/>
        <v>2.5454545454545454</v>
      </c>
      <c r="AS19" s="332">
        <f t="shared" si="6"/>
        <v>2.5454545454545454</v>
      </c>
      <c r="AT19" s="333"/>
      <c r="AU19">
        <f t="shared" si="7"/>
        <v>28</v>
      </c>
    </row>
    <row r="20" spans="1:47" x14ac:dyDescent="0.35">
      <c r="A20" s="306" t="s">
        <v>1294</v>
      </c>
      <c r="B20" s="337" t="s">
        <v>1312</v>
      </c>
      <c r="C20" s="308" t="s">
        <v>1296</v>
      </c>
      <c r="D20" s="338">
        <v>8</v>
      </c>
      <c r="E20" s="398">
        <v>29</v>
      </c>
      <c r="F20" s="310" t="s">
        <v>1392</v>
      </c>
      <c r="G20" s="410">
        <v>29001</v>
      </c>
      <c r="H20" s="345" t="s">
        <v>1392</v>
      </c>
      <c r="I20" s="342" t="s">
        <v>1393</v>
      </c>
      <c r="J20" s="347" t="s">
        <v>1392</v>
      </c>
      <c r="K20" s="314" t="s">
        <v>1394</v>
      </c>
      <c r="L20" s="339">
        <v>43311</v>
      </c>
      <c r="M20" s="340">
        <v>43330</v>
      </c>
      <c r="N20" s="317" t="s">
        <v>1301</v>
      </c>
      <c r="O20" s="348" t="s">
        <v>952</v>
      </c>
      <c r="P20" s="319">
        <v>0</v>
      </c>
      <c r="Q20" s="320">
        <v>0</v>
      </c>
      <c r="R20" s="308">
        <v>0</v>
      </c>
      <c r="S20" s="276">
        <v>0</v>
      </c>
      <c r="T20" s="321"/>
      <c r="U20" s="321"/>
      <c r="V20" s="321"/>
      <c r="W20" s="321"/>
      <c r="X20" s="321"/>
      <c r="Y20" s="321"/>
      <c r="Z20" s="321"/>
      <c r="AA20" s="321"/>
      <c r="AB20" s="321"/>
      <c r="AC20" s="321"/>
      <c r="AD20" s="322" t="s">
        <v>1303</v>
      </c>
      <c r="AE20" s="321"/>
      <c r="AF20" s="321"/>
      <c r="AG20" s="325">
        <f t="shared" si="1"/>
        <v>0</v>
      </c>
      <c r="AH20" s="321"/>
      <c r="AI20" s="323"/>
      <c r="AJ20" s="323"/>
      <c r="AK20" s="323">
        <v>10</v>
      </c>
      <c r="AL20" s="323">
        <v>10</v>
      </c>
      <c r="AM20" s="327">
        <v>20</v>
      </c>
      <c r="AN20" s="336">
        <v>11</v>
      </c>
      <c r="AO20" s="329">
        <f t="shared" si="9"/>
        <v>20</v>
      </c>
      <c r="AP20" s="329">
        <f t="shared" si="3"/>
        <v>11</v>
      </c>
      <c r="AQ20" s="331" t="e">
        <f t="shared" si="4"/>
        <v>#DIV/0!</v>
      </c>
      <c r="AR20" s="349">
        <f t="shared" si="5"/>
        <v>1.8181818181818181</v>
      </c>
      <c r="AS20" s="332">
        <f t="shared" si="6"/>
        <v>1.8181818181818181</v>
      </c>
      <c r="AT20" s="333"/>
      <c r="AU20">
        <f t="shared" si="7"/>
        <v>20</v>
      </c>
    </row>
    <row r="21" spans="1:47" x14ac:dyDescent="0.35">
      <c r="A21" s="306" t="s">
        <v>1294</v>
      </c>
      <c r="B21" s="337" t="s">
        <v>1312</v>
      </c>
      <c r="C21" s="308" t="s">
        <v>1296</v>
      </c>
      <c r="D21" s="338">
        <v>8</v>
      </c>
      <c r="E21" s="398">
        <v>29</v>
      </c>
      <c r="F21" s="310" t="s">
        <v>1395</v>
      </c>
      <c r="G21" s="410" t="s">
        <v>1396</v>
      </c>
      <c r="H21" s="345" t="s">
        <v>1397</v>
      </c>
      <c r="I21" s="342">
        <v>29680</v>
      </c>
      <c r="J21" s="346" t="s">
        <v>1395</v>
      </c>
      <c r="K21" s="314" t="s">
        <v>1398</v>
      </c>
      <c r="L21" s="339">
        <v>43311</v>
      </c>
      <c r="M21" s="340">
        <v>43330</v>
      </c>
      <c r="N21" s="317" t="s">
        <v>1301</v>
      </c>
      <c r="O21" s="318" t="s">
        <v>1399</v>
      </c>
      <c r="P21" s="319">
        <v>0</v>
      </c>
      <c r="Q21" s="320">
        <v>0</v>
      </c>
      <c r="R21" s="308">
        <v>0</v>
      </c>
      <c r="S21" s="276">
        <v>0</v>
      </c>
      <c r="T21" s="321"/>
      <c r="U21" s="321"/>
      <c r="V21" s="321"/>
      <c r="W21" s="321"/>
      <c r="X21" s="321"/>
      <c r="Y21" s="321"/>
      <c r="Z21" s="321"/>
      <c r="AA21" s="321"/>
      <c r="AB21" s="321"/>
      <c r="AC21" s="321"/>
      <c r="AD21" s="322" t="s">
        <v>1303</v>
      </c>
      <c r="AE21" s="321"/>
      <c r="AF21" s="321"/>
      <c r="AG21" s="325">
        <f t="shared" si="1"/>
        <v>0</v>
      </c>
      <c r="AH21" s="321"/>
      <c r="AI21" s="323"/>
      <c r="AJ21" s="323"/>
      <c r="AK21" s="323">
        <v>7</v>
      </c>
      <c r="AL21" s="323">
        <v>7</v>
      </c>
      <c r="AM21" s="327">
        <f t="shared" ref="AM21:AM29" si="10">SUM(AI21:AL21)</f>
        <v>14</v>
      </c>
      <c r="AN21" s="336">
        <v>5</v>
      </c>
      <c r="AO21" s="329">
        <f t="shared" si="9"/>
        <v>14</v>
      </c>
      <c r="AP21" s="329">
        <f t="shared" si="3"/>
        <v>5</v>
      </c>
      <c r="AQ21" s="331" t="e">
        <f t="shared" si="4"/>
        <v>#DIV/0!</v>
      </c>
      <c r="AR21" s="330">
        <f t="shared" si="5"/>
        <v>2.8</v>
      </c>
      <c r="AS21" s="332">
        <f t="shared" si="6"/>
        <v>2.8</v>
      </c>
      <c r="AT21" s="333"/>
      <c r="AU21">
        <f t="shared" si="7"/>
        <v>14</v>
      </c>
    </row>
    <row r="22" spans="1:47" x14ac:dyDescent="0.35">
      <c r="A22" s="306" t="s">
        <v>1294</v>
      </c>
      <c r="B22" s="337" t="s">
        <v>1312</v>
      </c>
      <c r="C22" s="308" t="s">
        <v>1296</v>
      </c>
      <c r="D22" s="338">
        <v>8</v>
      </c>
      <c r="E22" s="398">
        <v>35</v>
      </c>
      <c r="F22" s="310" t="s">
        <v>1318</v>
      </c>
      <c r="G22" s="406">
        <v>35334</v>
      </c>
      <c r="H22" s="335" t="s">
        <v>1319</v>
      </c>
      <c r="I22" s="312" t="s">
        <v>1320</v>
      </c>
      <c r="J22" s="313" t="s">
        <v>1318</v>
      </c>
      <c r="K22" s="314" t="s">
        <v>1321</v>
      </c>
      <c r="L22" s="339">
        <v>43311</v>
      </c>
      <c r="M22" s="344">
        <v>43336</v>
      </c>
      <c r="N22" s="317" t="s">
        <v>1301</v>
      </c>
      <c r="O22" s="318" t="s">
        <v>1322</v>
      </c>
      <c r="P22" s="319">
        <v>0</v>
      </c>
      <c r="Q22" s="320">
        <v>0</v>
      </c>
      <c r="R22" s="308">
        <v>0</v>
      </c>
      <c r="S22" s="276">
        <v>0</v>
      </c>
      <c r="T22" s="321"/>
      <c r="U22" s="321"/>
      <c r="V22" s="321"/>
      <c r="W22" s="321"/>
      <c r="X22" s="321"/>
      <c r="Y22" s="321"/>
      <c r="Z22" s="321"/>
      <c r="AA22" s="321"/>
      <c r="AB22" s="321"/>
      <c r="AC22" s="321"/>
      <c r="AD22" s="322" t="s">
        <v>1303</v>
      </c>
      <c r="AE22" s="321"/>
      <c r="AF22" s="321"/>
      <c r="AG22" s="325">
        <f t="shared" si="1"/>
        <v>0</v>
      </c>
      <c r="AH22" s="321"/>
      <c r="AI22" s="323"/>
      <c r="AJ22" s="323">
        <v>7</v>
      </c>
      <c r="AK22" s="323">
        <v>7</v>
      </c>
      <c r="AL22" s="323">
        <v>14</v>
      </c>
      <c r="AM22" s="327">
        <f t="shared" si="10"/>
        <v>28</v>
      </c>
      <c r="AN22" s="336">
        <v>13</v>
      </c>
      <c r="AO22" s="329">
        <f t="shared" si="9"/>
        <v>28</v>
      </c>
      <c r="AP22" s="329">
        <f t="shared" si="3"/>
        <v>13</v>
      </c>
      <c r="AQ22" s="331" t="e">
        <f t="shared" si="4"/>
        <v>#DIV/0!</v>
      </c>
      <c r="AR22" s="330">
        <f t="shared" si="5"/>
        <v>2.1538461538461537</v>
      </c>
      <c r="AS22" s="332">
        <f t="shared" si="6"/>
        <v>2.1538461538461537</v>
      </c>
      <c r="AT22" s="333"/>
      <c r="AU22">
        <f t="shared" si="7"/>
        <v>28</v>
      </c>
    </row>
    <row r="23" spans="1:47" ht="24" x14ac:dyDescent="0.35">
      <c r="A23" s="306" t="s">
        <v>1294</v>
      </c>
      <c r="B23" s="337" t="s">
        <v>1312</v>
      </c>
      <c r="C23" s="308" t="s">
        <v>1400</v>
      </c>
      <c r="D23" s="338">
        <v>8</v>
      </c>
      <c r="E23" s="398">
        <v>59</v>
      </c>
      <c r="F23" s="310" t="s">
        <v>1401</v>
      </c>
      <c r="G23" s="410">
        <v>59416</v>
      </c>
      <c r="H23" s="350" t="s">
        <v>1401</v>
      </c>
      <c r="I23" s="342">
        <v>59190</v>
      </c>
      <c r="J23" s="346" t="s">
        <v>1402</v>
      </c>
      <c r="K23" s="314" t="s">
        <v>1403</v>
      </c>
      <c r="L23" s="339">
        <v>43311</v>
      </c>
      <c r="M23" s="340">
        <v>43330</v>
      </c>
      <c r="N23" s="317" t="s">
        <v>1301</v>
      </c>
      <c r="O23" s="318" t="s">
        <v>1404</v>
      </c>
      <c r="P23" s="319">
        <v>0</v>
      </c>
      <c r="Q23" s="320">
        <v>0</v>
      </c>
      <c r="R23" s="308">
        <v>0</v>
      </c>
      <c r="S23" s="276">
        <v>0</v>
      </c>
      <c r="T23" s="321"/>
      <c r="U23" s="321"/>
      <c r="V23" s="321"/>
      <c r="W23" s="321"/>
      <c r="X23" s="321"/>
      <c r="Y23" s="321"/>
      <c r="Z23" s="321"/>
      <c r="AA23" s="321"/>
      <c r="AB23" s="321"/>
      <c r="AC23" s="321"/>
      <c r="AD23" s="322" t="s">
        <v>1303</v>
      </c>
      <c r="AE23" s="321"/>
      <c r="AF23" s="321"/>
      <c r="AG23" s="325">
        <f t="shared" si="1"/>
        <v>0</v>
      </c>
      <c r="AH23" s="321"/>
      <c r="AI23" s="323">
        <v>6</v>
      </c>
      <c r="AJ23" s="323">
        <v>6</v>
      </c>
      <c r="AK23" s="323">
        <v>6</v>
      </c>
      <c r="AL23" s="323">
        <f>6+7</f>
        <v>13</v>
      </c>
      <c r="AM23" s="327">
        <f t="shared" si="10"/>
        <v>31</v>
      </c>
      <c r="AN23" s="336">
        <f>12+3</f>
        <v>15</v>
      </c>
      <c r="AO23" s="329">
        <f t="shared" si="9"/>
        <v>31</v>
      </c>
      <c r="AP23" s="329">
        <f t="shared" si="3"/>
        <v>15</v>
      </c>
      <c r="AQ23" s="331" t="e">
        <f t="shared" si="4"/>
        <v>#DIV/0!</v>
      </c>
      <c r="AR23" s="330">
        <f t="shared" si="5"/>
        <v>2.0666666666666669</v>
      </c>
      <c r="AS23" s="332">
        <f t="shared" si="6"/>
        <v>2.0666666666666669</v>
      </c>
      <c r="AT23" s="333"/>
      <c r="AU23">
        <f t="shared" si="7"/>
        <v>31</v>
      </c>
    </row>
    <row r="24" spans="1:47" x14ac:dyDescent="0.35">
      <c r="A24" s="306" t="s">
        <v>1294</v>
      </c>
      <c r="B24" s="337" t="s">
        <v>1312</v>
      </c>
      <c r="C24" s="308" t="s">
        <v>1305</v>
      </c>
      <c r="D24" s="338">
        <v>8</v>
      </c>
      <c r="E24" s="398">
        <v>14</v>
      </c>
      <c r="F24" s="310" t="s">
        <v>1405</v>
      </c>
      <c r="G24" s="410" t="s">
        <v>1406</v>
      </c>
      <c r="H24" s="345" t="s">
        <v>1407</v>
      </c>
      <c r="I24" s="312" t="s">
        <v>1408</v>
      </c>
      <c r="J24" s="346" t="s">
        <v>1407</v>
      </c>
      <c r="K24" s="314" t="s">
        <v>1409</v>
      </c>
      <c r="L24" s="339">
        <v>43311</v>
      </c>
      <c r="M24" s="340">
        <v>43330</v>
      </c>
      <c r="N24" s="317" t="s">
        <v>1301</v>
      </c>
      <c r="O24" s="318" t="s">
        <v>1410</v>
      </c>
      <c r="P24" s="319">
        <v>0</v>
      </c>
      <c r="Q24" s="320">
        <v>0</v>
      </c>
      <c r="R24" s="308">
        <v>0</v>
      </c>
      <c r="S24" s="276">
        <v>0</v>
      </c>
      <c r="T24" s="321"/>
      <c r="U24" s="321"/>
      <c r="V24" s="321"/>
      <c r="W24" s="321"/>
      <c r="X24" s="321"/>
      <c r="Y24" s="321"/>
      <c r="Z24" s="321"/>
      <c r="AA24" s="321"/>
      <c r="AB24" s="321"/>
      <c r="AC24" s="321"/>
      <c r="AD24" s="322" t="s">
        <v>1303</v>
      </c>
      <c r="AE24" s="321"/>
      <c r="AF24" s="321"/>
      <c r="AG24" s="325">
        <f t="shared" si="1"/>
        <v>0</v>
      </c>
      <c r="AH24" s="321"/>
      <c r="AI24" s="323">
        <v>7</v>
      </c>
      <c r="AJ24" s="323">
        <v>7</v>
      </c>
      <c r="AK24" s="323">
        <v>7</v>
      </c>
      <c r="AL24" s="323">
        <v>7</v>
      </c>
      <c r="AM24" s="327">
        <f t="shared" si="10"/>
        <v>28</v>
      </c>
      <c r="AN24" s="336">
        <v>15</v>
      </c>
      <c r="AO24" s="329">
        <f t="shared" si="9"/>
        <v>28</v>
      </c>
      <c r="AP24" s="329">
        <f t="shared" si="3"/>
        <v>15</v>
      </c>
      <c r="AQ24" s="331" t="e">
        <f t="shared" si="4"/>
        <v>#DIV/0!</v>
      </c>
      <c r="AR24" s="330">
        <f t="shared" si="5"/>
        <v>1.8666666666666667</v>
      </c>
      <c r="AS24" s="332">
        <f t="shared" si="6"/>
        <v>1.8666666666666667</v>
      </c>
      <c r="AT24" s="333"/>
      <c r="AU24">
        <f t="shared" si="7"/>
        <v>28</v>
      </c>
    </row>
    <row r="25" spans="1:47" x14ac:dyDescent="0.35">
      <c r="A25" s="306" t="s">
        <v>1294</v>
      </c>
      <c r="B25" s="337" t="s">
        <v>1312</v>
      </c>
      <c r="C25" s="308" t="s">
        <v>1305</v>
      </c>
      <c r="D25" s="338">
        <v>8</v>
      </c>
      <c r="E25" s="398">
        <v>14</v>
      </c>
      <c r="F25" s="310" t="s">
        <v>1411</v>
      </c>
      <c r="G25" s="410" t="s">
        <v>1412</v>
      </c>
      <c r="H25" s="345" t="s">
        <v>1413</v>
      </c>
      <c r="I25" s="312">
        <v>14440</v>
      </c>
      <c r="J25" s="346" t="s">
        <v>1413</v>
      </c>
      <c r="K25" s="314" t="s">
        <v>1414</v>
      </c>
      <c r="L25" s="339">
        <v>43311</v>
      </c>
      <c r="M25" s="340">
        <v>43330</v>
      </c>
      <c r="N25" s="317" t="s">
        <v>1301</v>
      </c>
      <c r="O25" s="318" t="s">
        <v>1310</v>
      </c>
      <c r="P25" s="319">
        <v>0</v>
      </c>
      <c r="Q25" s="320">
        <v>0</v>
      </c>
      <c r="R25" s="308">
        <v>0</v>
      </c>
      <c r="S25" s="276">
        <v>0</v>
      </c>
      <c r="T25" s="323">
        <v>20</v>
      </c>
      <c r="U25" s="323">
        <v>2</v>
      </c>
      <c r="V25" s="323">
        <v>20</v>
      </c>
      <c r="W25" s="323">
        <v>2</v>
      </c>
      <c r="X25" s="323"/>
      <c r="Y25" s="323"/>
      <c r="Z25" s="323"/>
      <c r="AA25" s="323"/>
      <c r="AB25" s="323"/>
      <c r="AC25" s="323"/>
      <c r="AD25" s="351" t="s">
        <v>1303</v>
      </c>
      <c r="AE25" s="321"/>
      <c r="AF25" s="321"/>
      <c r="AG25" s="325">
        <f t="shared" si="1"/>
        <v>0</v>
      </c>
      <c r="AH25" s="321"/>
      <c r="AI25" s="323">
        <f>7+9</f>
        <v>16</v>
      </c>
      <c r="AJ25" s="323">
        <f>7+9</f>
        <v>16</v>
      </c>
      <c r="AK25" s="323"/>
      <c r="AL25" s="323"/>
      <c r="AM25" s="327">
        <f t="shared" si="10"/>
        <v>32</v>
      </c>
      <c r="AN25" s="336">
        <f>5+3+7</f>
        <v>15</v>
      </c>
      <c r="AO25" s="329">
        <f t="shared" si="9"/>
        <v>72</v>
      </c>
      <c r="AP25" s="329">
        <f>+AH25+AN25+U25+W25</f>
        <v>19</v>
      </c>
      <c r="AQ25" s="331" t="e">
        <f t="shared" si="4"/>
        <v>#DIV/0!</v>
      </c>
      <c r="AR25" s="330">
        <f t="shared" si="5"/>
        <v>2.1333333333333333</v>
      </c>
      <c r="AS25" s="332">
        <f t="shared" si="6"/>
        <v>3.7894736842105261</v>
      </c>
      <c r="AT25" s="333"/>
      <c r="AU25">
        <f t="shared" si="7"/>
        <v>72</v>
      </c>
    </row>
    <row r="26" spans="1:47" x14ac:dyDescent="0.35">
      <c r="A26" s="306" t="s">
        <v>1294</v>
      </c>
      <c r="B26" s="337" t="s">
        <v>1312</v>
      </c>
      <c r="C26" s="308" t="s">
        <v>1305</v>
      </c>
      <c r="D26" s="338">
        <v>8</v>
      </c>
      <c r="E26" s="398" t="str">
        <f>LEFT(I26,2)</f>
        <v>14</v>
      </c>
      <c r="F26" s="310" t="s">
        <v>1415</v>
      </c>
      <c r="G26" s="410" t="s">
        <v>1416</v>
      </c>
      <c r="H26" s="352" t="s">
        <v>1415</v>
      </c>
      <c r="I26" s="342" t="s">
        <v>1417</v>
      </c>
      <c r="J26" s="353" t="s">
        <v>1415</v>
      </c>
      <c r="K26" s="354" t="s">
        <v>1418</v>
      </c>
      <c r="L26" s="315">
        <v>43289</v>
      </c>
      <c r="M26" s="316">
        <v>43307</v>
      </c>
      <c r="N26" s="317" t="s">
        <v>1301</v>
      </c>
      <c r="O26" s="318" t="s">
        <v>1419</v>
      </c>
      <c r="P26" s="319">
        <v>0</v>
      </c>
      <c r="Q26" s="320">
        <v>0</v>
      </c>
      <c r="R26" s="308">
        <v>0</v>
      </c>
      <c r="S26" s="276">
        <v>0</v>
      </c>
      <c r="T26" s="323">
        <v>20</v>
      </c>
      <c r="U26" s="323">
        <v>2</v>
      </c>
      <c r="V26" s="323">
        <v>20</v>
      </c>
      <c r="W26" s="323">
        <v>2</v>
      </c>
      <c r="X26" s="323"/>
      <c r="Y26" s="323"/>
      <c r="Z26" s="323"/>
      <c r="AA26" s="323"/>
      <c r="AB26" s="323"/>
      <c r="AC26" s="323"/>
      <c r="AD26" s="351" t="s">
        <v>1303</v>
      </c>
      <c r="AE26" s="321"/>
      <c r="AF26" s="321"/>
      <c r="AG26" s="325">
        <f t="shared" si="1"/>
        <v>0</v>
      </c>
      <c r="AH26" s="321"/>
      <c r="AI26" s="323">
        <v>1</v>
      </c>
      <c r="AJ26" s="323">
        <v>1</v>
      </c>
      <c r="AK26" s="323"/>
      <c r="AL26" s="323"/>
      <c r="AM26" s="327">
        <f t="shared" si="10"/>
        <v>2</v>
      </c>
      <c r="AN26" s="336">
        <v>1</v>
      </c>
      <c r="AO26" s="329">
        <f t="shared" si="9"/>
        <v>42</v>
      </c>
      <c r="AP26" s="329">
        <f>+AH26+AN26+U26+W26</f>
        <v>5</v>
      </c>
      <c r="AQ26" s="331" t="e">
        <f t="shared" si="4"/>
        <v>#DIV/0!</v>
      </c>
      <c r="AR26" s="330">
        <f t="shared" si="5"/>
        <v>2</v>
      </c>
      <c r="AS26" s="332">
        <f t="shared" si="6"/>
        <v>8.4</v>
      </c>
      <c r="AT26" s="333"/>
      <c r="AU26">
        <f t="shared" si="7"/>
        <v>42</v>
      </c>
    </row>
    <row r="27" spans="1:47" x14ac:dyDescent="0.35">
      <c r="A27" s="306" t="s">
        <v>1294</v>
      </c>
      <c r="B27" s="337" t="s">
        <v>1312</v>
      </c>
      <c r="C27" s="308" t="s">
        <v>1305</v>
      </c>
      <c r="D27" s="338">
        <v>8</v>
      </c>
      <c r="E27" s="398" t="str">
        <f>LEFT(I27,2)</f>
        <v>14</v>
      </c>
      <c r="F27" s="310" t="s">
        <v>1415</v>
      </c>
      <c r="G27" s="410" t="s">
        <v>1416</v>
      </c>
      <c r="H27" s="345" t="s">
        <v>1415</v>
      </c>
      <c r="I27" s="342" t="s">
        <v>1417</v>
      </c>
      <c r="J27" s="347" t="s">
        <v>1415</v>
      </c>
      <c r="K27" s="314" t="s">
        <v>1420</v>
      </c>
      <c r="L27" s="339">
        <v>43311</v>
      </c>
      <c r="M27" s="344">
        <v>43324</v>
      </c>
      <c r="N27" s="317" t="s">
        <v>1301</v>
      </c>
      <c r="O27" s="318" t="s">
        <v>1421</v>
      </c>
      <c r="P27" s="319">
        <v>0</v>
      </c>
      <c r="Q27" s="320">
        <v>0</v>
      </c>
      <c r="R27" s="308">
        <v>0</v>
      </c>
      <c r="S27" s="276">
        <v>0</v>
      </c>
      <c r="T27" s="323">
        <v>15</v>
      </c>
      <c r="U27" s="323">
        <v>2</v>
      </c>
      <c r="V27" s="323">
        <v>20</v>
      </c>
      <c r="W27" s="323">
        <v>2</v>
      </c>
      <c r="X27" s="323"/>
      <c r="Y27" s="323"/>
      <c r="Z27" s="323"/>
      <c r="AA27" s="323"/>
      <c r="AB27" s="323"/>
      <c r="AC27" s="323"/>
      <c r="AD27" s="351" t="s">
        <v>1303</v>
      </c>
      <c r="AE27" s="321"/>
      <c r="AF27" s="321"/>
      <c r="AG27" s="325">
        <f t="shared" si="1"/>
        <v>0</v>
      </c>
      <c r="AH27" s="321"/>
      <c r="AI27" s="323">
        <v>2</v>
      </c>
      <c r="AJ27" s="323"/>
      <c r="AK27" s="323"/>
      <c r="AL27" s="323"/>
      <c r="AM27" s="327">
        <f t="shared" si="10"/>
        <v>2</v>
      </c>
      <c r="AN27" s="336">
        <v>1</v>
      </c>
      <c r="AO27" s="329">
        <f t="shared" si="9"/>
        <v>37</v>
      </c>
      <c r="AP27" s="329">
        <f>+AH27+AN27+U27+W27</f>
        <v>5</v>
      </c>
      <c r="AQ27" s="331" t="e">
        <f t="shared" si="4"/>
        <v>#DIV/0!</v>
      </c>
      <c r="AR27" s="330">
        <f t="shared" si="5"/>
        <v>2</v>
      </c>
      <c r="AS27" s="332">
        <f t="shared" si="6"/>
        <v>7.4</v>
      </c>
      <c r="AT27" s="333"/>
      <c r="AU27">
        <f t="shared" si="7"/>
        <v>37</v>
      </c>
    </row>
    <row r="28" spans="1:47" x14ac:dyDescent="0.35">
      <c r="A28" s="306" t="s">
        <v>1294</v>
      </c>
      <c r="B28" s="337" t="s">
        <v>1312</v>
      </c>
      <c r="C28" s="308" t="s">
        <v>1305</v>
      </c>
      <c r="D28" s="338">
        <v>8</v>
      </c>
      <c r="E28" s="398" t="str">
        <f>LEFT(I28,2)</f>
        <v>14</v>
      </c>
      <c r="F28" s="310" t="s">
        <v>1415</v>
      </c>
      <c r="G28" s="410" t="s">
        <v>1416</v>
      </c>
      <c r="H28" s="345" t="s">
        <v>1415</v>
      </c>
      <c r="I28" s="342" t="s">
        <v>1417</v>
      </c>
      <c r="J28" s="347" t="s">
        <v>1415</v>
      </c>
      <c r="K28" s="314" t="s">
        <v>1420</v>
      </c>
      <c r="L28" s="355">
        <v>43324</v>
      </c>
      <c r="M28" s="344">
        <v>43337</v>
      </c>
      <c r="N28" s="317" t="s">
        <v>1301</v>
      </c>
      <c r="O28" s="318" t="s">
        <v>1421</v>
      </c>
      <c r="P28" s="319">
        <v>0</v>
      </c>
      <c r="Q28" s="320">
        <v>0</v>
      </c>
      <c r="R28" s="308">
        <v>0</v>
      </c>
      <c r="S28" s="276">
        <v>0</v>
      </c>
      <c r="T28" s="323"/>
      <c r="U28" s="323"/>
      <c r="V28" s="323"/>
      <c r="W28" s="323"/>
      <c r="X28" s="323">
        <v>12</v>
      </c>
      <c r="Y28" s="323">
        <v>2</v>
      </c>
      <c r="Z28" s="323">
        <v>16</v>
      </c>
      <c r="AA28" s="323">
        <v>1</v>
      </c>
      <c r="AB28" s="323"/>
      <c r="AC28" s="323"/>
      <c r="AD28" s="351">
        <v>3</v>
      </c>
      <c r="AE28" s="321"/>
      <c r="AF28" s="321"/>
      <c r="AG28" s="325">
        <f t="shared" si="1"/>
        <v>0</v>
      </c>
      <c r="AH28" s="321"/>
      <c r="AI28" s="323"/>
      <c r="AJ28" s="323"/>
      <c r="AK28" s="323"/>
      <c r="AL28" s="323"/>
      <c r="AM28" s="327">
        <f t="shared" si="10"/>
        <v>0</v>
      </c>
      <c r="AN28" s="336"/>
      <c r="AO28" s="329">
        <f>T28+V28+X28+Z28+AB28+AG28+AM28</f>
        <v>28</v>
      </c>
      <c r="AP28" s="329">
        <f>+AH28+AN28+U28+W28+Y28+AA28</f>
        <v>3</v>
      </c>
      <c r="AQ28" s="331" t="e">
        <f t="shared" si="4"/>
        <v>#DIV/0!</v>
      </c>
      <c r="AR28" s="331" t="e">
        <f t="shared" si="5"/>
        <v>#DIV/0!</v>
      </c>
      <c r="AS28" s="332">
        <f t="shared" si="6"/>
        <v>9.3333333333333339</v>
      </c>
      <c r="AT28" s="333"/>
      <c r="AU28">
        <f t="shared" si="7"/>
        <v>28</v>
      </c>
    </row>
    <row r="29" spans="1:47" x14ac:dyDescent="0.35">
      <c r="A29" s="306" t="s">
        <v>1294</v>
      </c>
      <c r="B29" s="337" t="s">
        <v>1312</v>
      </c>
      <c r="C29" s="308" t="s">
        <v>1305</v>
      </c>
      <c r="D29" s="338">
        <v>8</v>
      </c>
      <c r="E29" s="398" t="str">
        <f>LEFT(I29,2)</f>
        <v>50</v>
      </c>
      <c r="F29" s="310" t="s">
        <v>1422</v>
      </c>
      <c r="G29" s="410" t="s">
        <v>1423</v>
      </c>
      <c r="H29" s="345" t="s">
        <v>1422</v>
      </c>
      <c r="I29" s="312" t="s">
        <v>1424</v>
      </c>
      <c r="J29" s="346" t="s">
        <v>1422</v>
      </c>
      <c r="K29" s="314" t="s">
        <v>1425</v>
      </c>
      <c r="L29" s="339">
        <v>43311</v>
      </c>
      <c r="M29" s="340">
        <v>43330</v>
      </c>
      <c r="N29" s="317" t="s">
        <v>1301</v>
      </c>
      <c r="O29" s="318" t="s">
        <v>1426</v>
      </c>
      <c r="P29" s="319">
        <v>0</v>
      </c>
      <c r="Q29" s="320">
        <v>0</v>
      </c>
      <c r="R29" s="308">
        <v>0</v>
      </c>
      <c r="S29" s="276">
        <v>0</v>
      </c>
      <c r="T29" s="321"/>
      <c r="U29" s="321"/>
      <c r="V29" s="321"/>
      <c r="W29" s="321"/>
      <c r="X29" s="321"/>
      <c r="Y29" s="321"/>
      <c r="Z29" s="321"/>
      <c r="AA29" s="321"/>
      <c r="AB29" s="321"/>
      <c r="AC29" s="321"/>
      <c r="AD29" s="322" t="s">
        <v>1303</v>
      </c>
      <c r="AE29" s="321"/>
      <c r="AF29" s="321"/>
      <c r="AG29" s="325">
        <f t="shared" si="1"/>
        <v>0</v>
      </c>
      <c r="AH29" s="321"/>
      <c r="AI29" s="323"/>
      <c r="AJ29" s="323"/>
      <c r="AK29" s="323">
        <v>12</v>
      </c>
      <c r="AL29" s="323">
        <v>12</v>
      </c>
      <c r="AM29" s="327">
        <f t="shared" si="10"/>
        <v>24</v>
      </c>
      <c r="AN29" s="336">
        <f>8+3</f>
        <v>11</v>
      </c>
      <c r="AO29" s="329">
        <f t="shared" ref="AO29:AO38" si="11">T29+V29+X29+Z29+AB29+AE29+AM29</f>
        <v>24</v>
      </c>
      <c r="AP29" s="329">
        <f t="shared" ref="AP29:AP39" si="12">+AH29+AN29</f>
        <v>11</v>
      </c>
      <c r="AQ29" s="331" t="e">
        <f t="shared" si="4"/>
        <v>#DIV/0!</v>
      </c>
      <c r="AR29" s="330">
        <f t="shared" si="5"/>
        <v>2.1818181818181817</v>
      </c>
      <c r="AS29" s="332">
        <f t="shared" si="6"/>
        <v>2.1818181818181817</v>
      </c>
      <c r="AT29" s="333"/>
      <c r="AU29">
        <f t="shared" si="7"/>
        <v>24</v>
      </c>
    </row>
    <row r="30" spans="1:47" ht="24" x14ac:dyDescent="0.35">
      <c r="A30" s="306" t="s">
        <v>1294</v>
      </c>
      <c r="B30" s="337" t="s">
        <v>1312</v>
      </c>
      <c r="C30" s="308" t="s">
        <v>1427</v>
      </c>
      <c r="D30" s="338">
        <v>8</v>
      </c>
      <c r="E30" s="398">
        <v>24</v>
      </c>
      <c r="F30" s="310" t="s">
        <v>1428</v>
      </c>
      <c r="G30" s="410">
        <v>24183</v>
      </c>
      <c r="H30" s="345" t="s">
        <v>1429</v>
      </c>
      <c r="I30" s="312" t="s">
        <v>1430</v>
      </c>
      <c r="J30" s="346" t="s">
        <v>1431</v>
      </c>
      <c r="K30" s="314" t="s">
        <v>1432</v>
      </c>
      <c r="L30" s="339">
        <v>43311</v>
      </c>
      <c r="M30" s="340">
        <v>43330</v>
      </c>
      <c r="N30" s="317" t="s">
        <v>1301</v>
      </c>
      <c r="O30" s="318" t="s">
        <v>1433</v>
      </c>
      <c r="P30" s="319">
        <v>0</v>
      </c>
      <c r="Q30" s="320">
        <v>0</v>
      </c>
      <c r="R30" s="308">
        <v>0</v>
      </c>
      <c r="S30" s="276">
        <v>0</v>
      </c>
      <c r="T30" s="321"/>
      <c r="U30" s="321"/>
      <c r="V30" s="321"/>
      <c r="W30" s="321"/>
      <c r="X30" s="321"/>
      <c r="Y30" s="321"/>
      <c r="Z30" s="321"/>
      <c r="AA30" s="321"/>
      <c r="AB30" s="321"/>
      <c r="AC30" s="321"/>
      <c r="AD30" s="322" t="s">
        <v>1303</v>
      </c>
      <c r="AE30" s="321"/>
      <c r="AF30" s="321"/>
      <c r="AG30" s="325">
        <f t="shared" si="1"/>
        <v>0</v>
      </c>
      <c r="AH30" s="321"/>
      <c r="AI30" s="323"/>
      <c r="AJ30" s="323"/>
      <c r="AK30" s="323">
        <v>6</v>
      </c>
      <c r="AL30" s="323">
        <v>24</v>
      </c>
      <c r="AM30" s="327">
        <v>30</v>
      </c>
      <c r="AN30" s="336">
        <f>11+3</f>
        <v>14</v>
      </c>
      <c r="AO30" s="329">
        <f t="shared" si="11"/>
        <v>30</v>
      </c>
      <c r="AP30" s="329">
        <f t="shared" si="12"/>
        <v>14</v>
      </c>
      <c r="AQ30" s="331" t="e">
        <f t="shared" si="4"/>
        <v>#DIV/0!</v>
      </c>
      <c r="AR30" s="330">
        <f t="shared" si="5"/>
        <v>2.1428571428571428</v>
      </c>
      <c r="AS30" s="332">
        <f t="shared" si="6"/>
        <v>2.1428571428571428</v>
      </c>
      <c r="AT30" s="333"/>
      <c r="AU30">
        <f t="shared" si="7"/>
        <v>30</v>
      </c>
    </row>
    <row r="31" spans="1:47" ht="24" x14ac:dyDescent="0.35">
      <c r="A31" s="306" t="s">
        <v>1294</v>
      </c>
      <c r="B31" s="337" t="s">
        <v>1312</v>
      </c>
      <c r="C31" s="308" t="s">
        <v>1427</v>
      </c>
      <c r="D31" s="338">
        <v>8</v>
      </c>
      <c r="E31" s="398">
        <v>79</v>
      </c>
      <c r="F31" s="310" t="s">
        <v>1434</v>
      </c>
      <c r="G31" s="410" t="s">
        <v>1435</v>
      </c>
      <c r="H31" s="345" t="s">
        <v>1434</v>
      </c>
      <c r="I31" s="312" t="s">
        <v>1436</v>
      </c>
      <c r="J31" s="346" t="s">
        <v>1434</v>
      </c>
      <c r="K31" s="314" t="s">
        <v>1437</v>
      </c>
      <c r="L31" s="339">
        <v>43311</v>
      </c>
      <c r="M31" s="340">
        <v>43330</v>
      </c>
      <c r="N31" s="317" t="s">
        <v>1301</v>
      </c>
      <c r="O31" s="318" t="s">
        <v>1438</v>
      </c>
      <c r="P31" s="319">
        <v>0</v>
      </c>
      <c r="Q31" s="320">
        <v>0</v>
      </c>
      <c r="R31" s="308">
        <v>0</v>
      </c>
      <c r="S31" s="276">
        <v>0</v>
      </c>
      <c r="T31" s="321"/>
      <c r="U31" s="321"/>
      <c r="V31" s="321"/>
      <c r="W31" s="321"/>
      <c r="X31" s="321"/>
      <c r="Y31" s="321"/>
      <c r="Z31" s="321"/>
      <c r="AA31" s="321"/>
      <c r="AB31" s="321"/>
      <c r="AC31" s="321"/>
      <c r="AD31" s="322" t="s">
        <v>1303</v>
      </c>
      <c r="AE31" s="321"/>
      <c r="AF31" s="321"/>
      <c r="AG31" s="325">
        <f t="shared" si="1"/>
        <v>0</v>
      </c>
      <c r="AH31" s="321"/>
      <c r="AI31" s="323"/>
      <c r="AJ31" s="323">
        <v>12</v>
      </c>
      <c r="AK31" s="323">
        <v>12</v>
      </c>
      <c r="AL31" s="323"/>
      <c r="AM31" s="327">
        <f>SUM(AI31:AL31)</f>
        <v>24</v>
      </c>
      <c r="AN31" s="336">
        <v>11</v>
      </c>
      <c r="AO31" s="329">
        <f t="shared" si="11"/>
        <v>24</v>
      </c>
      <c r="AP31" s="329">
        <f t="shared" si="12"/>
        <v>11</v>
      </c>
      <c r="AQ31" s="331" t="e">
        <f t="shared" si="4"/>
        <v>#DIV/0!</v>
      </c>
      <c r="AR31" s="330">
        <f t="shared" si="5"/>
        <v>2.1818181818181817</v>
      </c>
      <c r="AS31" s="332">
        <f t="shared" si="6"/>
        <v>2.1818181818181817</v>
      </c>
      <c r="AT31" s="333"/>
      <c r="AU31">
        <f t="shared" si="7"/>
        <v>24</v>
      </c>
    </row>
    <row r="32" spans="1:47" ht="24" x14ac:dyDescent="0.35">
      <c r="A32" s="306" t="s">
        <v>1294</v>
      </c>
      <c r="B32" s="337" t="s">
        <v>1312</v>
      </c>
      <c r="C32" s="308" t="s">
        <v>1427</v>
      </c>
      <c r="D32" s="338">
        <v>8</v>
      </c>
      <c r="E32" s="398">
        <v>79</v>
      </c>
      <c r="F32" s="310" t="s">
        <v>1439</v>
      </c>
      <c r="G32" s="406" t="s">
        <v>1440</v>
      </c>
      <c r="H32" s="335" t="s">
        <v>1441</v>
      </c>
      <c r="I32" s="312">
        <v>79600</v>
      </c>
      <c r="J32" s="313" t="s">
        <v>1441</v>
      </c>
      <c r="K32" s="314" t="s">
        <v>1442</v>
      </c>
      <c r="L32" s="339">
        <v>43311</v>
      </c>
      <c r="M32" s="340">
        <v>43330</v>
      </c>
      <c r="N32" s="317" t="s">
        <v>1301</v>
      </c>
      <c r="O32" s="318" t="s">
        <v>1443</v>
      </c>
      <c r="P32" s="319">
        <v>0</v>
      </c>
      <c r="Q32" s="320">
        <v>0</v>
      </c>
      <c r="R32" s="308">
        <v>0</v>
      </c>
      <c r="S32" s="276">
        <v>0</v>
      </c>
      <c r="T32" s="321"/>
      <c r="U32" s="321"/>
      <c r="V32" s="321"/>
      <c r="W32" s="321"/>
      <c r="X32" s="321"/>
      <c r="Y32" s="321"/>
      <c r="Z32" s="321"/>
      <c r="AA32" s="321"/>
      <c r="AB32" s="321"/>
      <c r="AC32" s="321"/>
      <c r="AD32" s="322" t="s">
        <v>1303</v>
      </c>
      <c r="AE32" s="321"/>
      <c r="AF32" s="321"/>
      <c r="AG32" s="325">
        <f t="shared" si="1"/>
        <v>0</v>
      </c>
      <c r="AH32" s="321"/>
      <c r="AI32" s="323"/>
      <c r="AJ32" s="323"/>
      <c r="AK32" s="323">
        <v>14</v>
      </c>
      <c r="AL32" s="323">
        <v>14</v>
      </c>
      <c r="AM32" s="327">
        <v>28</v>
      </c>
      <c r="AN32" s="336">
        <v>12</v>
      </c>
      <c r="AO32" s="329">
        <f t="shared" si="11"/>
        <v>28</v>
      </c>
      <c r="AP32" s="329">
        <f t="shared" si="12"/>
        <v>12</v>
      </c>
      <c r="AQ32" s="331" t="e">
        <f t="shared" si="4"/>
        <v>#DIV/0!</v>
      </c>
      <c r="AR32" s="330">
        <f t="shared" si="5"/>
        <v>2.3333333333333335</v>
      </c>
      <c r="AS32" s="332">
        <f t="shared" si="6"/>
        <v>2.3333333333333335</v>
      </c>
      <c r="AT32" s="333"/>
      <c r="AU32">
        <f t="shared" si="7"/>
        <v>28</v>
      </c>
    </row>
    <row r="33" spans="1:47" x14ac:dyDescent="0.35">
      <c r="A33" s="306" t="s">
        <v>1294</v>
      </c>
      <c r="B33" s="337" t="s">
        <v>1312</v>
      </c>
      <c r="C33" s="308" t="s">
        <v>1357</v>
      </c>
      <c r="D33" s="338">
        <v>8</v>
      </c>
      <c r="E33" s="398">
        <v>12</v>
      </c>
      <c r="F33" s="310" t="s">
        <v>1360</v>
      </c>
      <c r="G33" s="410">
        <v>12131</v>
      </c>
      <c r="H33" s="345" t="s">
        <v>1444</v>
      </c>
      <c r="I33" s="353" t="s">
        <v>1445</v>
      </c>
      <c r="J33" s="313" t="s">
        <v>1360</v>
      </c>
      <c r="K33" s="314">
        <v>0</v>
      </c>
      <c r="L33" s="339">
        <v>43311</v>
      </c>
      <c r="M33" s="340">
        <v>43330</v>
      </c>
      <c r="N33" s="317" t="s">
        <v>1301</v>
      </c>
      <c r="O33" s="318" t="s">
        <v>1419</v>
      </c>
      <c r="P33" s="319">
        <v>0</v>
      </c>
      <c r="Q33" s="320">
        <v>0</v>
      </c>
      <c r="R33" s="308">
        <v>0</v>
      </c>
      <c r="S33" s="276">
        <v>0</v>
      </c>
      <c r="T33" s="321"/>
      <c r="U33" s="321"/>
      <c r="V33" s="321"/>
      <c r="W33" s="321"/>
      <c r="X33" s="321"/>
      <c r="Y33" s="321"/>
      <c r="Z33" s="321"/>
      <c r="AA33" s="321"/>
      <c r="AB33" s="321"/>
      <c r="AC33" s="321"/>
      <c r="AD33" s="322" t="s">
        <v>1303</v>
      </c>
      <c r="AE33" s="321"/>
      <c r="AF33" s="321"/>
      <c r="AG33" s="325">
        <f t="shared" si="1"/>
        <v>0</v>
      </c>
      <c r="AH33" s="321"/>
      <c r="AI33" s="323"/>
      <c r="AJ33" s="323">
        <f>14+6</f>
        <v>20</v>
      </c>
      <c r="AK33" s="323">
        <v>14</v>
      </c>
      <c r="AL33" s="323"/>
      <c r="AM33" s="327">
        <f>SUM(AI33:AL33)</f>
        <v>34</v>
      </c>
      <c r="AN33" s="336">
        <v>16</v>
      </c>
      <c r="AO33" s="329">
        <f t="shared" si="11"/>
        <v>34</v>
      </c>
      <c r="AP33" s="329">
        <f t="shared" si="12"/>
        <v>16</v>
      </c>
      <c r="AQ33" s="331" t="e">
        <f t="shared" si="4"/>
        <v>#DIV/0!</v>
      </c>
      <c r="AR33" s="330">
        <f t="shared" si="5"/>
        <v>2.125</v>
      </c>
      <c r="AS33" s="332">
        <f t="shared" si="6"/>
        <v>2.125</v>
      </c>
      <c r="AT33" s="333"/>
      <c r="AU33">
        <f t="shared" si="7"/>
        <v>34</v>
      </c>
    </row>
    <row r="34" spans="1:47" x14ac:dyDescent="0.35">
      <c r="A34" s="306" t="s">
        <v>1294</v>
      </c>
      <c r="B34" s="337" t="s">
        <v>1312</v>
      </c>
      <c r="C34" s="308" t="s">
        <v>1364</v>
      </c>
      <c r="D34" s="338">
        <v>8</v>
      </c>
      <c r="E34" s="398">
        <v>49</v>
      </c>
      <c r="F34" s="310" t="s">
        <v>1446</v>
      </c>
      <c r="G34" s="407" t="s">
        <v>1447</v>
      </c>
      <c r="H34" s="341" t="s">
        <v>1448</v>
      </c>
      <c r="I34" s="353">
        <v>49600</v>
      </c>
      <c r="J34" s="356" t="s">
        <v>1448</v>
      </c>
      <c r="K34" s="314" t="s">
        <v>1449</v>
      </c>
      <c r="L34" s="339">
        <v>43311</v>
      </c>
      <c r="M34" s="340">
        <v>43330</v>
      </c>
      <c r="N34" s="317" t="s">
        <v>1301</v>
      </c>
      <c r="O34" s="318" t="s">
        <v>1450</v>
      </c>
      <c r="P34" s="319">
        <v>0</v>
      </c>
      <c r="Q34" s="320">
        <v>0</v>
      </c>
      <c r="R34" s="308">
        <v>0</v>
      </c>
      <c r="S34" s="276">
        <v>0</v>
      </c>
      <c r="T34" s="321"/>
      <c r="U34" s="321"/>
      <c r="V34" s="321"/>
      <c r="W34" s="321"/>
      <c r="X34" s="321"/>
      <c r="Y34" s="321"/>
      <c r="Z34" s="321"/>
      <c r="AA34" s="321"/>
      <c r="AB34" s="321"/>
      <c r="AC34" s="321"/>
      <c r="AD34" s="322" t="s">
        <v>1303</v>
      </c>
      <c r="AE34" s="321"/>
      <c r="AF34" s="321"/>
      <c r="AG34" s="325">
        <f t="shared" si="1"/>
        <v>0</v>
      </c>
      <c r="AH34" s="321"/>
      <c r="AI34" s="323">
        <v>7</v>
      </c>
      <c r="AJ34" s="323">
        <v>7</v>
      </c>
      <c r="AK34" s="323">
        <v>7</v>
      </c>
      <c r="AL34" s="323">
        <v>7</v>
      </c>
      <c r="AM34" s="327">
        <f>SUM(AI34:AL34)</f>
        <v>28</v>
      </c>
      <c r="AN34" s="336">
        <v>15</v>
      </c>
      <c r="AO34" s="329">
        <f t="shared" si="11"/>
        <v>28</v>
      </c>
      <c r="AP34" s="329">
        <f t="shared" si="12"/>
        <v>15</v>
      </c>
      <c r="AQ34" s="331" t="e">
        <f t="shared" si="4"/>
        <v>#DIV/0!</v>
      </c>
      <c r="AR34" s="330">
        <f t="shared" si="5"/>
        <v>1.8666666666666667</v>
      </c>
      <c r="AS34" s="332">
        <f t="shared" si="6"/>
        <v>1.8666666666666667</v>
      </c>
      <c r="AT34" s="333"/>
      <c r="AU34">
        <f t="shared" si="7"/>
        <v>28</v>
      </c>
    </row>
    <row r="35" spans="1:47" x14ac:dyDescent="0.35">
      <c r="A35" s="306" t="s">
        <v>1294</v>
      </c>
      <c r="B35" s="337" t="s">
        <v>1312</v>
      </c>
      <c r="C35" s="308" t="s">
        <v>1364</v>
      </c>
      <c r="D35" s="338">
        <v>8</v>
      </c>
      <c r="E35" s="398">
        <v>49</v>
      </c>
      <c r="F35" s="310" t="s">
        <v>1451</v>
      </c>
      <c r="G35" s="406" t="s">
        <v>1452</v>
      </c>
      <c r="H35" s="335" t="s">
        <v>1453</v>
      </c>
      <c r="I35" s="353" t="s">
        <v>1454</v>
      </c>
      <c r="J35" s="313" t="s">
        <v>1451</v>
      </c>
      <c r="K35" s="314" t="s">
        <v>1455</v>
      </c>
      <c r="L35" s="339">
        <v>43311</v>
      </c>
      <c r="M35" s="340">
        <v>43330</v>
      </c>
      <c r="N35" s="317" t="s">
        <v>1301</v>
      </c>
      <c r="O35" s="318" t="s">
        <v>1456</v>
      </c>
      <c r="P35" s="319">
        <v>0</v>
      </c>
      <c r="Q35" s="320">
        <v>0</v>
      </c>
      <c r="R35" s="308">
        <v>0</v>
      </c>
      <c r="S35" s="276">
        <v>0</v>
      </c>
      <c r="T35" s="321"/>
      <c r="U35" s="321"/>
      <c r="V35" s="321"/>
      <c r="W35" s="321"/>
      <c r="X35" s="321"/>
      <c r="Y35" s="321"/>
      <c r="Z35" s="321"/>
      <c r="AA35" s="321"/>
      <c r="AB35" s="321"/>
      <c r="AC35" s="321"/>
      <c r="AD35" s="322" t="s">
        <v>1303</v>
      </c>
      <c r="AE35" s="321"/>
      <c r="AF35" s="321"/>
      <c r="AG35" s="325">
        <f t="shared" si="1"/>
        <v>0</v>
      </c>
      <c r="AH35" s="321"/>
      <c r="AI35" s="323"/>
      <c r="AJ35" s="323"/>
      <c r="AK35" s="323">
        <v>12</v>
      </c>
      <c r="AL35" s="323">
        <v>12</v>
      </c>
      <c r="AM35" s="327">
        <v>24</v>
      </c>
      <c r="AN35" s="336">
        <v>10</v>
      </c>
      <c r="AO35" s="329">
        <f t="shared" si="11"/>
        <v>24</v>
      </c>
      <c r="AP35" s="329">
        <f t="shared" si="12"/>
        <v>10</v>
      </c>
      <c r="AQ35" s="331" t="e">
        <f t="shared" si="4"/>
        <v>#DIV/0!</v>
      </c>
      <c r="AR35" s="330">
        <f t="shared" si="5"/>
        <v>2.4</v>
      </c>
      <c r="AS35" s="332">
        <f t="shared" si="6"/>
        <v>2.4</v>
      </c>
      <c r="AT35" s="333"/>
      <c r="AU35">
        <f t="shared" si="7"/>
        <v>24</v>
      </c>
    </row>
    <row r="36" spans="1:47" x14ac:dyDescent="0.35">
      <c r="A36" s="306" t="s">
        <v>1294</v>
      </c>
      <c r="B36" s="337" t="s">
        <v>1312</v>
      </c>
      <c r="C36" s="308" t="s">
        <v>1364</v>
      </c>
      <c r="D36" s="338">
        <v>8</v>
      </c>
      <c r="E36" s="398">
        <v>72</v>
      </c>
      <c r="F36" s="310" t="s">
        <v>1457</v>
      </c>
      <c r="G36" s="407" t="s">
        <v>1458</v>
      </c>
      <c r="H36" s="341" t="s">
        <v>1459</v>
      </c>
      <c r="I36" s="353">
        <v>72360</v>
      </c>
      <c r="J36" s="356" t="s">
        <v>1460</v>
      </c>
      <c r="K36" s="314" t="s">
        <v>1461</v>
      </c>
      <c r="L36" s="339">
        <v>43311</v>
      </c>
      <c r="M36" s="340">
        <v>43330</v>
      </c>
      <c r="N36" s="317" t="s">
        <v>1301</v>
      </c>
      <c r="O36" s="318" t="s">
        <v>1462</v>
      </c>
      <c r="P36" s="319">
        <v>0</v>
      </c>
      <c r="Q36" s="320">
        <v>0</v>
      </c>
      <c r="R36" s="308">
        <v>0</v>
      </c>
      <c r="S36" s="276">
        <v>0</v>
      </c>
      <c r="T36" s="321"/>
      <c r="U36" s="321"/>
      <c r="V36" s="321"/>
      <c r="W36" s="321"/>
      <c r="X36" s="321"/>
      <c r="Y36" s="321"/>
      <c r="Z36" s="321"/>
      <c r="AA36" s="321"/>
      <c r="AB36" s="321"/>
      <c r="AC36" s="321"/>
      <c r="AD36" s="322" t="s">
        <v>1303</v>
      </c>
      <c r="AE36" s="321"/>
      <c r="AF36" s="321"/>
      <c r="AG36" s="325">
        <f t="shared" si="1"/>
        <v>0</v>
      </c>
      <c r="AH36" s="321"/>
      <c r="AI36" s="323"/>
      <c r="AJ36" s="323"/>
      <c r="AK36" s="323">
        <v>12</v>
      </c>
      <c r="AL36" s="323">
        <v>18</v>
      </c>
      <c r="AM36" s="327">
        <f>SUM(AI36:AL36)</f>
        <v>30</v>
      </c>
      <c r="AN36" s="336">
        <v>14</v>
      </c>
      <c r="AO36" s="329">
        <f t="shared" si="11"/>
        <v>30</v>
      </c>
      <c r="AP36" s="329">
        <f t="shared" si="12"/>
        <v>14</v>
      </c>
      <c r="AQ36" s="331" t="e">
        <f t="shared" si="4"/>
        <v>#DIV/0!</v>
      </c>
      <c r="AR36" s="330">
        <f t="shared" si="5"/>
        <v>2.1428571428571428</v>
      </c>
      <c r="AS36" s="332">
        <f t="shared" si="6"/>
        <v>2.1428571428571428</v>
      </c>
      <c r="AT36" s="333"/>
      <c r="AU36">
        <f t="shared" si="7"/>
        <v>30</v>
      </c>
    </row>
    <row r="37" spans="1:47" x14ac:dyDescent="0.35">
      <c r="A37" s="306" t="s">
        <v>1294</v>
      </c>
      <c r="B37" s="337" t="s">
        <v>1312</v>
      </c>
      <c r="C37" s="308" t="s">
        <v>1364</v>
      </c>
      <c r="D37" s="338">
        <v>8</v>
      </c>
      <c r="E37" s="418">
        <v>85</v>
      </c>
      <c r="F37" s="310" t="s">
        <v>1463</v>
      </c>
      <c r="G37" s="406">
        <v>35334</v>
      </c>
      <c r="H37" s="335" t="s">
        <v>1463</v>
      </c>
      <c r="I37" s="353" t="s">
        <v>1464</v>
      </c>
      <c r="J37" s="357" t="s">
        <v>1463</v>
      </c>
      <c r="K37" s="314" t="s">
        <v>1465</v>
      </c>
      <c r="L37" s="339">
        <v>43311</v>
      </c>
      <c r="M37" s="340">
        <v>43330</v>
      </c>
      <c r="N37" s="317" t="s">
        <v>1301</v>
      </c>
      <c r="O37" s="318" t="s">
        <v>1466</v>
      </c>
      <c r="P37" s="319">
        <v>0</v>
      </c>
      <c r="Q37" s="320">
        <v>0</v>
      </c>
      <c r="R37" s="308">
        <v>0</v>
      </c>
      <c r="S37" s="276">
        <v>0</v>
      </c>
      <c r="T37" s="321"/>
      <c r="U37" s="321"/>
      <c r="V37" s="321"/>
      <c r="W37" s="321"/>
      <c r="X37" s="321"/>
      <c r="Y37" s="321"/>
      <c r="Z37" s="321"/>
      <c r="AA37" s="321"/>
      <c r="AB37" s="321"/>
      <c r="AC37" s="321"/>
      <c r="AD37" s="322" t="s">
        <v>1303</v>
      </c>
      <c r="AE37" s="321"/>
      <c r="AF37" s="321"/>
      <c r="AG37" s="325">
        <f t="shared" si="1"/>
        <v>0</v>
      </c>
      <c r="AH37" s="358"/>
      <c r="AI37" s="323"/>
      <c r="AJ37" s="323"/>
      <c r="AK37" s="323">
        <v>14</v>
      </c>
      <c r="AL37" s="323">
        <v>14</v>
      </c>
      <c r="AM37" s="327">
        <v>28</v>
      </c>
      <c r="AN37" s="336">
        <v>12</v>
      </c>
      <c r="AO37" s="329">
        <f t="shared" si="11"/>
        <v>28</v>
      </c>
      <c r="AP37" s="329">
        <f t="shared" si="12"/>
        <v>12</v>
      </c>
      <c r="AQ37" s="331" t="e">
        <f t="shared" si="4"/>
        <v>#DIV/0!</v>
      </c>
      <c r="AR37" s="330">
        <f t="shared" si="5"/>
        <v>2.3333333333333335</v>
      </c>
      <c r="AS37" s="332">
        <f t="shared" si="6"/>
        <v>2.3333333333333335</v>
      </c>
      <c r="AT37" s="333"/>
      <c r="AU37">
        <f t="shared" si="7"/>
        <v>28</v>
      </c>
    </row>
    <row r="38" spans="1:47" x14ac:dyDescent="0.35">
      <c r="A38" s="306" t="s">
        <v>1294</v>
      </c>
      <c r="B38" s="337" t="s">
        <v>1312</v>
      </c>
      <c r="C38" s="308" t="s">
        <v>1467</v>
      </c>
      <c r="D38" s="338">
        <v>8</v>
      </c>
      <c r="E38" s="418">
        <v>88</v>
      </c>
      <c r="F38" s="310" t="s">
        <v>1468</v>
      </c>
      <c r="G38" s="406">
        <v>88415</v>
      </c>
      <c r="H38" s="335" t="s">
        <v>1468</v>
      </c>
      <c r="I38" s="353" t="s">
        <v>1469</v>
      </c>
      <c r="J38" s="357" t="s">
        <v>1470</v>
      </c>
      <c r="K38" s="314" t="s">
        <v>1471</v>
      </c>
      <c r="L38" s="339">
        <v>43311</v>
      </c>
      <c r="M38" s="340">
        <v>43330</v>
      </c>
      <c r="N38" s="317" t="s">
        <v>1301</v>
      </c>
      <c r="O38" s="318" t="s">
        <v>1472</v>
      </c>
      <c r="P38" s="319">
        <v>0</v>
      </c>
      <c r="Q38" s="320">
        <v>0</v>
      </c>
      <c r="R38" s="308">
        <v>0</v>
      </c>
      <c r="S38" s="276">
        <v>0</v>
      </c>
      <c r="T38" s="321"/>
      <c r="U38" s="321"/>
      <c r="V38" s="321"/>
      <c r="W38" s="321"/>
      <c r="X38" s="321"/>
      <c r="Y38" s="321"/>
      <c r="Z38" s="321"/>
      <c r="AA38" s="321"/>
      <c r="AB38" s="321"/>
      <c r="AC38" s="321"/>
      <c r="AD38" s="322" t="s">
        <v>1303</v>
      </c>
      <c r="AE38" s="321"/>
      <c r="AF38" s="359"/>
      <c r="AG38" s="325">
        <f t="shared" si="1"/>
        <v>0</v>
      </c>
      <c r="AH38" s="358"/>
      <c r="AI38" s="323">
        <v>12</v>
      </c>
      <c r="AJ38" s="323">
        <v>12</v>
      </c>
      <c r="AK38" s="323">
        <v>7</v>
      </c>
      <c r="AL38" s="323"/>
      <c r="AM38" s="327">
        <f>SUM(AI38:AL38)</f>
        <v>31</v>
      </c>
      <c r="AN38" s="336">
        <v>13</v>
      </c>
      <c r="AO38" s="329">
        <f t="shared" si="11"/>
        <v>31</v>
      </c>
      <c r="AP38" s="329">
        <f t="shared" si="12"/>
        <v>13</v>
      </c>
      <c r="AQ38" s="331" t="e">
        <f t="shared" si="4"/>
        <v>#DIV/0!</v>
      </c>
      <c r="AR38" s="330">
        <f t="shared" si="5"/>
        <v>2.3846153846153846</v>
      </c>
      <c r="AS38" s="332">
        <f t="shared" si="6"/>
        <v>2.3846153846153846</v>
      </c>
      <c r="AT38" s="333"/>
      <c r="AU38">
        <f t="shared" si="7"/>
        <v>31</v>
      </c>
    </row>
    <row r="39" spans="1:47" x14ac:dyDescent="0.35">
      <c r="A39" s="306" t="s">
        <v>1294</v>
      </c>
      <c r="B39" s="307" t="s">
        <v>1295</v>
      </c>
      <c r="C39" s="308" t="s">
        <v>1305</v>
      </c>
      <c r="D39" s="338" t="s">
        <v>1473</v>
      </c>
      <c r="E39" s="418" t="s">
        <v>1474</v>
      </c>
      <c r="F39" s="310" t="s">
        <v>1306</v>
      </c>
      <c r="G39" s="406" t="s">
        <v>1307</v>
      </c>
      <c r="H39" s="335" t="s">
        <v>1308</v>
      </c>
      <c r="I39" s="353" t="s">
        <v>1475</v>
      </c>
      <c r="J39" s="357" t="s">
        <v>1306</v>
      </c>
      <c r="K39" s="314" t="s">
        <v>1309</v>
      </c>
      <c r="L39" s="339">
        <v>43311</v>
      </c>
      <c r="M39" s="340">
        <v>43330</v>
      </c>
      <c r="N39" s="317" t="s">
        <v>1301</v>
      </c>
      <c r="O39" s="318" t="s">
        <v>1476</v>
      </c>
      <c r="P39" s="319">
        <v>0</v>
      </c>
      <c r="Q39" s="320">
        <v>0</v>
      </c>
      <c r="R39" s="308">
        <v>0</v>
      </c>
      <c r="S39" s="276">
        <v>0</v>
      </c>
      <c r="T39" s="321"/>
      <c r="U39" s="321"/>
      <c r="V39" s="321"/>
      <c r="W39" s="321"/>
      <c r="X39" s="321"/>
      <c r="Y39" s="321"/>
      <c r="Z39" s="321"/>
      <c r="AA39" s="321"/>
      <c r="AB39" s="321"/>
      <c r="AC39" s="321"/>
      <c r="AD39" s="322" t="s">
        <v>1303</v>
      </c>
      <c r="AE39" s="323"/>
      <c r="AF39" s="360">
        <v>24</v>
      </c>
      <c r="AG39" s="325">
        <f t="shared" si="1"/>
        <v>24</v>
      </c>
      <c r="AH39" s="361">
        <v>10</v>
      </c>
      <c r="AI39" s="321"/>
      <c r="AJ39" s="321"/>
      <c r="AK39" s="321"/>
      <c r="AL39" s="321"/>
      <c r="AM39" s="327">
        <f>SUM(AI39:AL39)</f>
        <v>0</v>
      </c>
      <c r="AN39" s="328"/>
      <c r="AO39" s="329">
        <f>T39+V39+X39+Z39+AB39+AG39+AF39</f>
        <v>48</v>
      </c>
      <c r="AP39" s="329">
        <f t="shared" si="12"/>
        <v>10</v>
      </c>
      <c r="AQ39" s="330">
        <f t="shared" si="4"/>
        <v>2.4</v>
      </c>
      <c r="AR39" s="331" t="e">
        <f t="shared" si="5"/>
        <v>#DIV/0!</v>
      </c>
      <c r="AS39" s="332">
        <f t="shared" si="6"/>
        <v>4.8</v>
      </c>
      <c r="AT39" s="333" t="s">
        <v>1477</v>
      </c>
      <c r="AU39">
        <f t="shared" si="7"/>
        <v>72</v>
      </c>
    </row>
    <row r="40" spans="1:47" ht="48" x14ac:dyDescent="0.35">
      <c r="A40" s="362" t="s">
        <v>1478</v>
      </c>
      <c r="B40" s="307" t="s">
        <v>1295</v>
      </c>
      <c r="C40" s="362" t="s">
        <v>1382</v>
      </c>
      <c r="D40" s="363">
        <v>8</v>
      </c>
      <c r="E40" s="378">
        <v>26</v>
      </c>
      <c r="F40" s="364" t="s">
        <v>1479</v>
      </c>
      <c r="G40" s="411" t="s">
        <v>1480</v>
      </c>
      <c r="H40" s="365" t="s">
        <v>1481</v>
      </c>
      <c r="I40" s="366">
        <v>26310</v>
      </c>
      <c r="J40" s="367" t="s">
        <v>1482</v>
      </c>
      <c r="K40" s="368" t="s">
        <v>1483</v>
      </c>
      <c r="L40" s="369">
        <v>43310</v>
      </c>
      <c r="M40" s="369">
        <v>43329</v>
      </c>
      <c r="N40" s="370" t="s">
        <v>1484</v>
      </c>
      <c r="O40" s="371" t="s">
        <v>1485</v>
      </c>
      <c r="P40" s="372">
        <v>0</v>
      </c>
      <c r="Q40" s="373">
        <v>0</v>
      </c>
      <c r="R40" s="373" t="s">
        <v>1486</v>
      </c>
      <c r="S40" s="277">
        <v>0</v>
      </c>
      <c r="T40" s="321"/>
      <c r="U40" s="321"/>
      <c r="V40" s="321"/>
      <c r="W40" s="321"/>
      <c r="X40" s="321"/>
      <c r="Y40" s="321"/>
      <c r="Z40" s="321"/>
      <c r="AA40" s="321"/>
      <c r="AB40" s="321"/>
      <c r="AC40" s="321"/>
      <c r="AD40" s="322"/>
      <c r="AE40" s="323"/>
      <c r="AF40" s="374"/>
      <c r="AG40" s="325">
        <v>21</v>
      </c>
      <c r="AH40" s="375">
        <v>6</v>
      </c>
      <c r="AI40" s="321"/>
      <c r="AJ40" s="321"/>
      <c r="AK40" s="321"/>
      <c r="AL40" s="321"/>
      <c r="AM40" s="327">
        <v>0</v>
      </c>
      <c r="AN40" s="376"/>
      <c r="AO40" s="329">
        <v>21</v>
      </c>
      <c r="AP40" s="329">
        <v>6</v>
      </c>
      <c r="AQ40" s="349">
        <v>3.5</v>
      </c>
      <c r="AR40" s="331" t="e">
        <v>#DIV/0!</v>
      </c>
      <c r="AS40" s="332">
        <v>3.5</v>
      </c>
      <c r="AT40" s="333" t="s">
        <v>1487</v>
      </c>
      <c r="AU40">
        <f t="shared" si="7"/>
        <v>42</v>
      </c>
    </row>
    <row r="41" spans="1:47" ht="60" x14ac:dyDescent="0.35">
      <c r="A41" s="362" t="s">
        <v>1478</v>
      </c>
      <c r="B41" s="307" t="s">
        <v>1295</v>
      </c>
      <c r="C41" s="362" t="s">
        <v>1382</v>
      </c>
      <c r="D41" s="363">
        <v>8</v>
      </c>
      <c r="E41" s="419">
        <v>38</v>
      </c>
      <c r="F41" s="362" t="s">
        <v>1488</v>
      </c>
      <c r="G41" s="411" t="s">
        <v>1489</v>
      </c>
      <c r="H41" s="365" t="s">
        <v>1490</v>
      </c>
      <c r="I41" s="366">
        <v>38410</v>
      </c>
      <c r="J41" s="367" t="s">
        <v>1488</v>
      </c>
      <c r="K41" s="368" t="s">
        <v>1491</v>
      </c>
      <c r="L41" s="369">
        <v>43310</v>
      </c>
      <c r="M41" s="369">
        <v>43329</v>
      </c>
      <c r="N41" s="370" t="s">
        <v>1484</v>
      </c>
      <c r="O41" s="371" t="s">
        <v>1492</v>
      </c>
      <c r="P41" s="372">
        <v>0</v>
      </c>
      <c r="Q41" s="373">
        <v>0</v>
      </c>
      <c r="R41" s="373" t="s">
        <v>1493</v>
      </c>
      <c r="S41" s="277">
        <v>0</v>
      </c>
      <c r="T41" s="321"/>
      <c r="U41" s="321"/>
      <c r="V41" s="321"/>
      <c r="W41" s="321"/>
      <c r="X41" s="321"/>
      <c r="Y41" s="321"/>
      <c r="Z41" s="321"/>
      <c r="AA41" s="321"/>
      <c r="AB41" s="321"/>
      <c r="AC41" s="321"/>
      <c r="AD41" s="322"/>
      <c r="AE41" s="323"/>
      <c r="AF41" s="374"/>
      <c r="AG41" s="325">
        <v>21</v>
      </c>
      <c r="AH41" s="375">
        <v>8</v>
      </c>
      <c r="AI41" s="321"/>
      <c r="AJ41" s="321"/>
      <c r="AK41" s="321"/>
      <c r="AL41" s="321"/>
      <c r="AM41" s="327">
        <v>0</v>
      </c>
      <c r="AN41" s="376"/>
      <c r="AO41" s="329">
        <v>21</v>
      </c>
      <c r="AP41" s="329">
        <v>8</v>
      </c>
      <c r="AQ41" s="349">
        <v>2.63</v>
      </c>
      <c r="AR41" s="331" t="e">
        <v>#DIV/0!</v>
      </c>
      <c r="AS41" s="332">
        <v>2.63</v>
      </c>
      <c r="AT41" s="333" t="s">
        <v>1494</v>
      </c>
      <c r="AU41">
        <f t="shared" si="7"/>
        <v>42</v>
      </c>
    </row>
    <row r="42" spans="1:47" ht="48" x14ac:dyDescent="0.35">
      <c r="A42" s="362" t="s">
        <v>1478</v>
      </c>
      <c r="B42" s="307" t="s">
        <v>1295</v>
      </c>
      <c r="C42" s="362" t="s">
        <v>1382</v>
      </c>
      <c r="D42" s="363">
        <v>8</v>
      </c>
      <c r="E42" s="419">
        <v>38</v>
      </c>
      <c r="F42" s="362" t="s">
        <v>1495</v>
      </c>
      <c r="G42" s="411" t="s">
        <v>1496</v>
      </c>
      <c r="H42" s="365" t="s">
        <v>1497</v>
      </c>
      <c r="I42" s="366">
        <v>38350</v>
      </c>
      <c r="J42" s="367" t="s">
        <v>1495</v>
      </c>
      <c r="K42" s="368" t="s">
        <v>1498</v>
      </c>
      <c r="L42" s="369">
        <v>43310</v>
      </c>
      <c r="M42" s="369">
        <v>43329</v>
      </c>
      <c r="N42" s="370" t="s">
        <v>1484</v>
      </c>
      <c r="O42" s="371" t="s">
        <v>1499</v>
      </c>
      <c r="P42" s="372">
        <v>0</v>
      </c>
      <c r="Q42" s="373">
        <v>0</v>
      </c>
      <c r="R42" s="373" t="s">
        <v>1500</v>
      </c>
      <c r="S42" s="277">
        <v>0</v>
      </c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2"/>
      <c r="AE42" s="323"/>
      <c r="AF42" s="374"/>
      <c r="AG42" s="325">
        <v>24</v>
      </c>
      <c r="AH42" s="375">
        <v>6</v>
      </c>
      <c r="AI42" s="321"/>
      <c r="AJ42" s="321"/>
      <c r="AK42" s="321"/>
      <c r="AL42" s="321"/>
      <c r="AM42" s="327">
        <v>0</v>
      </c>
      <c r="AN42" s="376"/>
      <c r="AO42" s="329">
        <v>24</v>
      </c>
      <c r="AP42" s="329">
        <v>6</v>
      </c>
      <c r="AQ42" s="349">
        <v>4</v>
      </c>
      <c r="AR42" s="331" t="e">
        <v>#DIV/0!</v>
      </c>
      <c r="AS42" s="332">
        <v>4</v>
      </c>
      <c r="AT42" s="333" t="s">
        <v>1501</v>
      </c>
      <c r="AU42">
        <f t="shared" si="7"/>
        <v>48</v>
      </c>
    </row>
    <row r="43" spans="1:47" ht="24" x14ac:dyDescent="0.35">
      <c r="A43" s="362" t="s">
        <v>1478</v>
      </c>
      <c r="B43" s="307" t="s">
        <v>1295</v>
      </c>
      <c r="C43" s="362" t="s">
        <v>1382</v>
      </c>
      <c r="D43" s="363">
        <v>8</v>
      </c>
      <c r="E43" s="419">
        <v>69</v>
      </c>
      <c r="F43" s="362" t="s">
        <v>1502</v>
      </c>
      <c r="G43" s="411" t="s">
        <v>1503</v>
      </c>
      <c r="H43" s="365" t="s">
        <v>1504</v>
      </c>
      <c r="I43" s="366">
        <v>69280</v>
      </c>
      <c r="J43" s="367" t="s">
        <v>1505</v>
      </c>
      <c r="K43" s="368" t="s">
        <v>1506</v>
      </c>
      <c r="L43" s="369">
        <v>43310</v>
      </c>
      <c r="M43" s="369">
        <v>43329</v>
      </c>
      <c r="N43" s="370" t="s">
        <v>1484</v>
      </c>
      <c r="O43" s="371" t="s">
        <v>1507</v>
      </c>
      <c r="P43" s="372">
        <v>0</v>
      </c>
      <c r="Q43" s="373">
        <v>0</v>
      </c>
      <c r="R43" s="373" t="s">
        <v>1508</v>
      </c>
      <c r="S43" s="277">
        <v>0</v>
      </c>
      <c r="T43" s="321"/>
      <c r="U43" s="321"/>
      <c r="V43" s="321"/>
      <c r="W43" s="321"/>
      <c r="X43" s="321"/>
      <c r="Y43" s="321"/>
      <c r="Z43" s="321"/>
      <c r="AA43" s="321"/>
      <c r="AB43" s="321"/>
      <c r="AC43" s="321"/>
      <c r="AD43" s="322"/>
      <c r="AE43" s="323"/>
      <c r="AF43" s="374"/>
      <c r="AG43" s="325">
        <v>18</v>
      </c>
      <c r="AH43" s="375">
        <v>7</v>
      </c>
      <c r="AI43" s="321"/>
      <c r="AJ43" s="321"/>
      <c r="AK43" s="321"/>
      <c r="AL43" s="321"/>
      <c r="AM43" s="327">
        <v>0</v>
      </c>
      <c r="AN43" s="376"/>
      <c r="AO43" s="329">
        <v>18</v>
      </c>
      <c r="AP43" s="329">
        <v>7</v>
      </c>
      <c r="AQ43" s="349">
        <v>2.57</v>
      </c>
      <c r="AR43" s="331" t="e">
        <v>#DIV/0!</v>
      </c>
      <c r="AS43" s="332">
        <v>2.57</v>
      </c>
      <c r="AT43" s="333" t="s">
        <v>1509</v>
      </c>
      <c r="AU43">
        <f t="shared" si="7"/>
        <v>36</v>
      </c>
    </row>
    <row r="44" spans="1:47" ht="60" x14ac:dyDescent="0.35">
      <c r="A44" s="362" t="s">
        <v>1478</v>
      </c>
      <c r="B44" s="307" t="s">
        <v>1295</v>
      </c>
      <c r="C44" s="362" t="s">
        <v>1382</v>
      </c>
      <c r="D44" s="363">
        <v>8</v>
      </c>
      <c r="E44" s="419">
        <v>69</v>
      </c>
      <c r="F44" s="362" t="s">
        <v>1510</v>
      </c>
      <c r="G44" s="411" t="s">
        <v>1511</v>
      </c>
      <c r="H44" s="365" t="s">
        <v>1512</v>
      </c>
      <c r="I44" s="366">
        <v>69510</v>
      </c>
      <c r="J44" s="367" t="s">
        <v>1510</v>
      </c>
      <c r="K44" s="368" t="s">
        <v>1513</v>
      </c>
      <c r="L44" s="369">
        <v>43310</v>
      </c>
      <c r="M44" s="369">
        <v>43329</v>
      </c>
      <c r="N44" s="370" t="s">
        <v>1484</v>
      </c>
      <c r="O44" s="371" t="s">
        <v>1514</v>
      </c>
      <c r="P44" s="372">
        <v>0</v>
      </c>
      <c r="Q44" s="373">
        <v>0</v>
      </c>
      <c r="R44" s="373" t="s">
        <v>1493</v>
      </c>
      <c r="S44" s="277">
        <v>0</v>
      </c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2"/>
      <c r="AE44" s="323"/>
      <c r="AF44" s="323"/>
      <c r="AG44" s="325">
        <v>14</v>
      </c>
      <c r="AH44" s="323">
        <v>4</v>
      </c>
      <c r="AI44" s="321"/>
      <c r="AJ44" s="321"/>
      <c r="AK44" s="321"/>
      <c r="AL44" s="321"/>
      <c r="AM44" s="327">
        <v>0</v>
      </c>
      <c r="AN44" s="376"/>
      <c r="AO44" s="329">
        <v>14</v>
      </c>
      <c r="AP44" s="329">
        <v>4</v>
      </c>
      <c r="AQ44" s="349">
        <v>3.5</v>
      </c>
      <c r="AR44" s="331" t="e">
        <v>#DIV/0!</v>
      </c>
      <c r="AS44" s="332">
        <v>3.5</v>
      </c>
      <c r="AT44" s="333" t="s">
        <v>1515</v>
      </c>
      <c r="AU44">
        <f t="shared" si="7"/>
        <v>28</v>
      </c>
    </row>
    <row r="45" spans="1:47" ht="48" x14ac:dyDescent="0.35">
      <c r="A45" s="362" t="s">
        <v>1478</v>
      </c>
      <c r="B45" s="307" t="s">
        <v>1295</v>
      </c>
      <c r="C45" s="362" t="s">
        <v>1382</v>
      </c>
      <c r="D45" s="363">
        <v>8</v>
      </c>
      <c r="E45" s="419">
        <v>73</v>
      </c>
      <c r="F45" s="362" t="s">
        <v>1516</v>
      </c>
      <c r="G45" s="411" t="s">
        <v>1517</v>
      </c>
      <c r="H45" s="365" t="s">
        <v>1518</v>
      </c>
      <c r="I45" s="366">
        <v>73530</v>
      </c>
      <c r="J45" s="362" t="s">
        <v>1516</v>
      </c>
      <c r="K45" s="368" t="s">
        <v>1519</v>
      </c>
      <c r="L45" s="369">
        <v>43310</v>
      </c>
      <c r="M45" s="369">
        <v>43329</v>
      </c>
      <c r="N45" s="370" t="s">
        <v>1484</v>
      </c>
      <c r="O45" s="371" t="s">
        <v>1520</v>
      </c>
      <c r="P45" s="372">
        <v>0</v>
      </c>
      <c r="Q45" s="373">
        <v>0</v>
      </c>
      <c r="R45" s="373" t="s">
        <v>1521</v>
      </c>
      <c r="S45" s="277">
        <v>0</v>
      </c>
      <c r="T45" s="321"/>
      <c r="U45" s="321"/>
      <c r="V45" s="321"/>
      <c r="W45" s="321"/>
      <c r="X45" s="321"/>
      <c r="Y45" s="321"/>
      <c r="Z45" s="321"/>
      <c r="AA45" s="321"/>
      <c r="AB45" s="321"/>
      <c r="AC45" s="321"/>
      <c r="AD45" s="322"/>
      <c r="AE45" s="323"/>
      <c r="AF45" s="323"/>
      <c r="AG45" s="325">
        <v>18</v>
      </c>
      <c r="AH45" s="323">
        <v>5</v>
      </c>
      <c r="AI45" s="321"/>
      <c r="AJ45" s="321"/>
      <c r="AK45" s="321"/>
      <c r="AL45" s="321"/>
      <c r="AM45" s="327">
        <v>0</v>
      </c>
      <c r="AN45" s="376"/>
      <c r="AO45" s="329">
        <v>18</v>
      </c>
      <c r="AP45" s="329">
        <v>5</v>
      </c>
      <c r="AQ45" s="349">
        <v>3.6</v>
      </c>
      <c r="AR45" s="331" t="e">
        <v>#DIV/0!</v>
      </c>
      <c r="AS45" s="332">
        <v>3.6</v>
      </c>
      <c r="AT45" s="333" t="s">
        <v>1522</v>
      </c>
      <c r="AU45">
        <f t="shared" si="7"/>
        <v>36</v>
      </c>
    </row>
    <row r="46" spans="1:47" ht="48" x14ac:dyDescent="0.35">
      <c r="A46" s="362" t="s">
        <v>1478</v>
      </c>
      <c r="B46" s="307" t="s">
        <v>1295</v>
      </c>
      <c r="C46" s="362" t="s">
        <v>1382</v>
      </c>
      <c r="D46" s="363">
        <v>8</v>
      </c>
      <c r="E46" s="378">
        <v>73</v>
      </c>
      <c r="F46" s="362" t="s">
        <v>1523</v>
      </c>
      <c r="G46" s="411" t="s">
        <v>1524</v>
      </c>
      <c r="H46" s="365" t="s">
        <v>1525</v>
      </c>
      <c r="I46" s="342">
        <v>73270</v>
      </c>
      <c r="J46" s="362" t="s">
        <v>1523</v>
      </c>
      <c r="K46" s="368" t="s">
        <v>1526</v>
      </c>
      <c r="L46" s="369">
        <v>43310</v>
      </c>
      <c r="M46" s="369">
        <v>43329</v>
      </c>
      <c r="N46" s="370" t="s">
        <v>1484</v>
      </c>
      <c r="O46" s="371" t="s">
        <v>1527</v>
      </c>
      <c r="P46" s="372">
        <v>0</v>
      </c>
      <c r="Q46" s="373">
        <v>0</v>
      </c>
      <c r="R46" s="373" t="s">
        <v>1528</v>
      </c>
      <c r="S46" s="277">
        <v>0</v>
      </c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2"/>
      <c r="AE46" s="323"/>
      <c r="AF46" s="323"/>
      <c r="AG46" s="325">
        <v>24</v>
      </c>
      <c r="AH46" s="323">
        <v>8</v>
      </c>
      <c r="AI46" s="321"/>
      <c r="AJ46" s="321"/>
      <c r="AK46" s="321"/>
      <c r="AL46" s="321"/>
      <c r="AM46" s="377">
        <v>0</v>
      </c>
      <c r="AN46" s="376"/>
      <c r="AO46" s="329">
        <v>24</v>
      </c>
      <c r="AP46" s="329">
        <v>8</v>
      </c>
      <c r="AQ46" s="349">
        <v>3</v>
      </c>
      <c r="AR46" s="331" t="e">
        <v>#DIV/0!</v>
      </c>
      <c r="AS46" s="332">
        <v>3</v>
      </c>
      <c r="AT46" s="333" t="s">
        <v>1529</v>
      </c>
      <c r="AU46">
        <f t="shared" si="7"/>
        <v>48</v>
      </c>
    </row>
    <row r="47" spans="1:47" ht="48" x14ac:dyDescent="0.35">
      <c r="A47" s="362" t="s">
        <v>1478</v>
      </c>
      <c r="B47" s="307" t="s">
        <v>1295</v>
      </c>
      <c r="C47" s="362" t="s">
        <v>1382</v>
      </c>
      <c r="D47" s="363">
        <v>8</v>
      </c>
      <c r="E47" s="419">
        <v>74</v>
      </c>
      <c r="F47" s="362" t="s">
        <v>1530</v>
      </c>
      <c r="G47" s="411" t="s">
        <v>1531</v>
      </c>
      <c r="H47" s="365" t="s">
        <v>1532</v>
      </c>
      <c r="I47" s="366">
        <v>74380</v>
      </c>
      <c r="J47" s="362" t="s">
        <v>1530</v>
      </c>
      <c r="K47" s="368" t="s">
        <v>1533</v>
      </c>
      <c r="L47" s="369">
        <v>43310</v>
      </c>
      <c r="M47" s="369">
        <v>43329</v>
      </c>
      <c r="N47" s="370" t="s">
        <v>1484</v>
      </c>
      <c r="O47" s="371" t="s">
        <v>1534</v>
      </c>
      <c r="P47" s="372">
        <v>0</v>
      </c>
      <c r="Q47" s="373">
        <v>0</v>
      </c>
      <c r="R47" s="373" t="s">
        <v>1535</v>
      </c>
      <c r="S47" s="277">
        <v>0</v>
      </c>
      <c r="T47" s="321"/>
      <c r="U47" s="321"/>
      <c r="V47" s="321"/>
      <c r="W47" s="321"/>
      <c r="X47" s="321"/>
      <c r="Y47" s="321"/>
      <c r="Z47" s="321"/>
      <c r="AA47" s="321"/>
      <c r="AB47" s="321"/>
      <c r="AC47" s="321"/>
      <c r="AD47" s="322"/>
      <c r="AE47" s="323"/>
      <c r="AF47" s="323"/>
      <c r="AG47" s="325">
        <v>12</v>
      </c>
      <c r="AH47" s="323">
        <v>7</v>
      </c>
      <c r="AI47" s="321"/>
      <c r="AJ47" s="321"/>
      <c r="AK47" s="321"/>
      <c r="AL47" s="321"/>
      <c r="AM47" s="377">
        <v>0</v>
      </c>
      <c r="AN47" s="376"/>
      <c r="AO47" s="329">
        <v>12</v>
      </c>
      <c r="AP47" s="329">
        <v>7</v>
      </c>
      <c r="AQ47" s="349">
        <v>1.71</v>
      </c>
      <c r="AR47" s="331" t="e">
        <v>#DIV/0!</v>
      </c>
      <c r="AS47" s="332">
        <v>1.71</v>
      </c>
      <c r="AT47" s="333" t="s">
        <v>1536</v>
      </c>
      <c r="AU47">
        <f t="shared" si="7"/>
        <v>24</v>
      </c>
    </row>
    <row r="48" spans="1:47" ht="48" x14ac:dyDescent="0.35">
      <c r="A48" s="362" t="s">
        <v>1478</v>
      </c>
      <c r="B48" s="307" t="s">
        <v>1295</v>
      </c>
      <c r="C48" s="362" t="s">
        <v>1382</v>
      </c>
      <c r="D48" s="363">
        <v>8</v>
      </c>
      <c r="E48" s="419">
        <v>74</v>
      </c>
      <c r="F48" s="362" t="s">
        <v>1537</v>
      </c>
      <c r="G48" s="411" t="s">
        <v>1531</v>
      </c>
      <c r="H48" s="365" t="s">
        <v>1532</v>
      </c>
      <c r="I48" s="366">
        <v>74380</v>
      </c>
      <c r="J48" s="362" t="s">
        <v>1537</v>
      </c>
      <c r="K48" s="368" t="s">
        <v>1533</v>
      </c>
      <c r="L48" s="369">
        <v>43310</v>
      </c>
      <c r="M48" s="369">
        <v>43329</v>
      </c>
      <c r="N48" s="370" t="s">
        <v>1484</v>
      </c>
      <c r="O48" s="371" t="s">
        <v>1534</v>
      </c>
      <c r="P48" s="372">
        <v>0</v>
      </c>
      <c r="Q48" s="373">
        <v>0</v>
      </c>
      <c r="R48" s="373" t="s">
        <v>1535</v>
      </c>
      <c r="S48" s="277">
        <v>0</v>
      </c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2"/>
      <c r="AE48" s="323"/>
      <c r="AF48" s="323"/>
      <c r="AG48" s="325">
        <v>12</v>
      </c>
      <c r="AH48" s="323">
        <v>9</v>
      </c>
      <c r="AI48" s="321"/>
      <c r="AJ48" s="321"/>
      <c r="AK48" s="321"/>
      <c r="AL48" s="321"/>
      <c r="AM48" s="377">
        <v>0</v>
      </c>
      <c r="AN48" s="376"/>
      <c r="AO48" s="329">
        <v>12</v>
      </c>
      <c r="AP48" s="329">
        <v>9</v>
      </c>
      <c r="AQ48" s="349">
        <v>1.33</v>
      </c>
      <c r="AR48" s="331" t="e">
        <v>#DIV/0!</v>
      </c>
      <c r="AS48" s="332">
        <v>1.33</v>
      </c>
      <c r="AT48" s="333" t="s">
        <v>1538</v>
      </c>
      <c r="AU48">
        <f t="shared" si="7"/>
        <v>24</v>
      </c>
    </row>
    <row r="49" spans="1:47" ht="60" x14ac:dyDescent="0.35">
      <c r="A49" s="362" t="s">
        <v>1478</v>
      </c>
      <c r="B49" s="307" t="s">
        <v>1295</v>
      </c>
      <c r="C49" s="362" t="s">
        <v>1382</v>
      </c>
      <c r="D49" s="363">
        <v>8</v>
      </c>
      <c r="E49" s="419">
        <v>74</v>
      </c>
      <c r="F49" s="362" t="s">
        <v>1539</v>
      </c>
      <c r="G49" s="411" t="s">
        <v>1540</v>
      </c>
      <c r="H49" s="365" t="s">
        <v>1541</v>
      </c>
      <c r="I49" s="366">
        <v>74700</v>
      </c>
      <c r="J49" s="362" t="s">
        <v>1539</v>
      </c>
      <c r="K49" s="368" t="s">
        <v>1542</v>
      </c>
      <c r="L49" s="369">
        <v>43310</v>
      </c>
      <c r="M49" s="369">
        <v>43329</v>
      </c>
      <c r="N49" s="370" t="s">
        <v>1484</v>
      </c>
      <c r="O49" s="371" t="s">
        <v>1543</v>
      </c>
      <c r="P49" s="372">
        <v>0</v>
      </c>
      <c r="Q49" s="373">
        <v>0</v>
      </c>
      <c r="R49" s="373" t="s">
        <v>1544</v>
      </c>
      <c r="S49" s="277">
        <v>0</v>
      </c>
      <c r="T49" s="321"/>
      <c r="U49" s="321"/>
      <c r="V49" s="321"/>
      <c r="W49" s="321"/>
      <c r="X49" s="321"/>
      <c r="Y49" s="321"/>
      <c r="Z49" s="321"/>
      <c r="AA49" s="321"/>
      <c r="AB49" s="321"/>
      <c r="AC49" s="321"/>
      <c r="AD49" s="322"/>
      <c r="AE49" s="323"/>
      <c r="AF49" s="323"/>
      <c r="AG49" s="325">
        <v>18</v>
      </c>
      <c r="AH49" s="323">
        <v>11</v>
      </c>
      <c r="AI49" s="321"/>
      <c r="AJ49" s="321"/>
      <c r="AK49" s="321"/>
      <c r="AL49" s="321"/>
      <c r="AM49" s="327">
        <v>0</v>
      </c>
      <c r="AN49" s="376"/>
      <c r="AO49" s="329">
        <v>18</v>
      </c>
      <c r="AP49" s="329">
        <v>11</v>
      </c>
      <c r="AQ49" s="349">
        <v>1.64</v>
      </c>
      <c r="AR49" s="331" t="e">
        <v>#DIV/0!</v>
      </c>
      <c r="AS49" s="332">
        <v>1.64</v>
      </c>
      <c r="AT49" s="333" t="s">
        <v>1545</v>
      </c>
      <c r="AU49">
        <f t="shared" si="7"/>
        <v>36</v>
      </c>
    </row>
    <row r="50" spans="1:47" x14ac:dyDescent="0.35">
      <c r="A50" s="362" t="s">
        <v>1478</v>
      </c>
      <c r="B50" s="307" t="s">
        <v>1295</v>
      </c>
      <c r="C50" s="362" t="s">
        <v>1382</v>
      </c>
      <c r="D50" s="363">
        <v>8</v>
      </c>
      <c r="E50" s="378" t="s">
        <v>477</v>
      </c>
      <c r="F50" s="362" t="s">
        <v>1546</v>
      </c>
      <c r="G50" s="411" t="s">
        <v>1547</v>
      </c>
      <c r="H50" s="365" t="s">
        <v>1548</v>
      </c>
      <c r="I50" s="353">
        <v>1380</v>
      </c>
      <c r="J50" s="362" t="s">
        <v>1546</v>
      </c>
      <c r="K50" s="368" t="s">
        <v>1549</v>
      </c>
      <c r="L50" s="369">
        <v>43310</v>
      </c>
      <c r="M50" s="369">
        <v>43329</v>
      </c>
      <c r="N50" s="370" t="s">
        <v>1484</v>
      </c>
      <c r="O50" s="371"/>
      <c r="P50" s="372">
        <v>0</v>
      </c>
      <c r="Q50" s="373">
        <v>0</v>
      </c>
      <c r="R50" s="373"/>
      <c r="S50" s="277">
        <v>0</v>
      </c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2"/>
      <c r="AE50" s="323"/>
      <c r="AF50" s="323"/>
      <c r="AG50" s="325">
        <v>18</v>
      </c>
      <c r="AH50" s="323">
        <v>11</v>
      </c>
      <c r="AI50" s="321"/>
      <c r="AJ50" s="321"/>
      <c r="AK50" s="321"/>
      <c r="AL50" s="321"/>
      <c r="AM50" s="327">
        <v>0</v>
      </c>
      <c r="AN50" s="376"/>
      <c r="AO50" s="329">
        <v>18</v>
      </c>
      <c r="AP50" s="329">
        <v>11</v>
      </c>
      <c r="AQ50" s="349">
        <v>1.64</v>
      </c>
      <c r="AR50" s="331" t="e">
        <v>#DIV/0!</v>
      </c>
      <c r="AS50" s="332">
        <v>1.64</v>
      </c>
      <c r="AT50" s="333" t="s">
        <v>1550</v>
      </c>
      <c r="AU50">
        <f t="shared" si="7"/>
        <v>36</v>
      </c>
    </row>
    <row r="51" spans="1:47" x14ac:dyDescent="0.35">
      <c r="A51" s="362" t="s">
        <v>1478</v>
      </c>
      <c r="B51" s="307" t="s">
        <v>1295</v>
      </c>
      <c r="C51" s="362" t="s">
        <v>1382</v>
      </c>
      <c r="D51" s="363">
        <v>8</v>
      </c>
      <c r="E51" s="378" t="s">
        <v>51</v>
      </c>
      <c r="F51" s="362" t="s">
        <v>1551</v>
      </c>
      <c r="G51" s="411" t="s">
        <v>1552</v>
      </c>
      <c r="H51" s="365" t="s">
        <v>1481</v>
      </c>
      <c r="I51" s="312">
        <v>7240</v>
      </c>
      <c r="J51" s="362" t="s">
        <v>1551</v>
      </c>
      <c r="K51" s="368" t="s">
        <v>1553</v>
      </c>
      <c r="L51" s="369">
        <v>43310</v>
      </c>
      <c r="M51" s="369">
        <v>43329</v>
      </c>
      <c r="N51" s="370" t="s">
        <v>1484</v>
      </c>
      <c r="O51" s="371" t="s">
        <v>1554</v>
      </c>
      <c r="P51" s="372">
        <v>0</v>
      </c>
      <c r="Q51" s="373">
        <v>0</v>
      </c>
      <c r="R51" s="373">
        <v>0</v>
      </c>
      <c r="S51" s="277">
        <v>0</v>
      </c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2"/>
      <c r="AE51" s="323"/>
      <c r="AF51" s="323"/>
      <c r="AG51" s="325">
        <v>21</v>
      </c>
      <c r="AH51" s="323">
        <v>8</v>
      </c>
      <c r="AI51" s="321"/>
      <c r="AJ51" s="321"/>
      <c r="AK51" s="321"/>
      <c r="AL51" s="321"/>
      <c r="AM51" s="327">
        <v>0</v>
      </c>
      <c r="AN51" s="376"/>
      <c r="AO51" s="329">
        <v>21</v>
      </c>
      <c r="AP51" s="329">
        <v>8</v>
      </c>
      <c r="AQ51" s="349">
        <v>2.63</v>
      </c>
      <c r="AR51" s="331" t="e">
        <v>#DIV/0!</v>
      </c>
      <c r="AS51" s="332">
        <v>2.63</v>
      </c>
      <c r="AT51" s="333" t="s">
        <v>1555</v>
      </c>
      <c r="AU51">
        <f t="shared" si="7"/>
        <v>42</v>
      </c>
    </row>
    <row r="52" spans="1:47" x14ac:dyDescent="0.35">
      <c r="A52" s="362" t="s">
        <v>1478</v>
      </c>
      <c r="B52" s="307" t="s">
        <v>1295</v>
      </c>
      <c r="C52" s="362" t="s">
        <v>1556</v>
      </c>
      <c r="D52" s="363">
        <v>8</v>
      </c>
      <c r="E52" s="378">
        <v>21</v>
      </c>
      <c r="F52" s="362" t="s">
        <v>1557</v>
      </c>
      <c r="G52" s="411" t="s">
        <v>1558</v>
      </c>
      <c r="H52" s="365" t="s">
        <v>1559</v>
      </c>
      <c r="I52" s="342">
        <v>21000</v>
      </c>
      <c r="J52" s="362" t="s">
        <v>1557</v>
      </c>
      <c r="K52" s="368" t="s">
        <v>1560</v>
      </c>
      <c r="L52" s="369">
        <v>43310</v>
      </c>
      <c r="M52" s="369">
        <v>43329</v>
      </c>
      <c r="N52" s="370" t="s">
        <v>1484</v>
      </c>
      <c r="O52" s="371" t="s">
        <v>1561</v>
      </c>
      <c r="P52" s="372"/>
      <c r="Q52" s="373">
        <v>0</v>
      </c>
      <c r="R52" s="373">
        <v>0</v>
      </c>
      <c r="S52" s="277">
        <v>0</v>
      </c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2"/>
      <c r="AE52" s="323"/>
      <c r="AF52" s="323"/>
      <c r="AG52" s="325">
        <v>12</v>
      </c>
      <c r="AH52" s="323">
        <v>4</v>
      </c>
      <c r="AI52" s="321"/>
      <c r="AJ52" s="321"/>
      <c r="AK52" s="321"/>
      <c r="AL52" s="321"/>
      <c r="AM52" s="327">
        <v>0</v>
      </c>
      <c r="AN52" s="376"/>
      <c r="AO52" s="329">
        <v>12</v>
      </c>
      <c r="AP52" s="329">
        <v>4</v>
      </c>
      <c r="AQ52" s="349">
        <v>3</v>
      </c>
      <c r="AR52" s="331" t="e">
        <v>#DIV/0!</v>
      </c>
      <c r="AS52" s="332">
        <v>3</v>
      </c>
      <c r="AT52" s="333" t="s">
        <v>1562</v>
      </c>
      <c r="AU52">
        <f t="shared" si="7"/>
        <v>24</v>
      </c>
    </row>
    <row r="53" spans="1:47" x14ac:dyDescent="0.35">
      <c r="A53" s="362" t="s">
        <v>1478</v>
      </c>
      <c r="B53" s="307" t="s">
        <v>1295</v>
      </c>
      <c r="C53" s="362" t="s">
        <v>1556</v>
      </c>
      <c r="D53" s="363">
        <v>8</v>
      </c>
      <c r="E53" s="378">
        <v>21</v>
      </c>
      <c r="F53" s="362" t="s">
        <v>1557</v>
      </c>
      <c r="G53" s="411" t="s">
        <v>1558</v>
      </c>
      <c r="H53" s="365" t="s">
        <v>1559</v>
      </c>
      <c r="I53" s="342">
        <v>21000</v>
      </c>
      <c r="J53" s="362" t="s">
        <v>1557</v>
      </c>
      <c r="K53" s="368" t="s">
        <v>1560</v>
      </c>
      <c r="L53" s="369">
        <v>43310</v>
      </c>
      <c r="M53" s="369">
        <v>43329</v>
      </c>
      <c r="N53" s="370" t="s">
        <v>1484</v>
      </c>
      <c r="O53" s="371" t="s">
        <v>1563</v>
      </c>
      <c r="P53" s="372">
        <v>0</v>
      </c>
      <c r="Q53" s="373">
        <v>0</v>
      </c>
      <c r="R53" s="373">
        <v>0</v>
      </c>
      <c r="S53" s="277">
        <v>0</v>
      </c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2"/>
      <c r="AE53" s="323"/>
      <c r="AF53" s="323"/>
      <c r="AG53" s="325">
        <v>12</v>
      </c>
      <c r="AH53" s="323">
        <v>5</v>
      </c>
      <c r="AI53" s="321"/>
      <c r="AJ53" s="321"/>
      <c r="AK53" s="321"/>
      <c r="AL53" s="321"/>
      <c r="AM53" s="327">
        <v>0</v>
      </c>
      <c r="AN53" s="376"/>
      <c r="AO53" s="329">
        <v>12</v>
      </c>
      <c r="AP53" s="329">
        <v>5</v>
      </c>
      <c r="AQ53" s="349">
        <v>2.4</v>
      </c>
      <c r="AR53" s="331" t="e">
        <v>#DIV/0!</v>
      </c>
      <c r="AS53" s="332">
        <v>2.4</v>
      </c>
      <c r="AT53" s="333" t="s">
        <v>1564</v>
      </c>
      <c r="AU53">
        <f t="shared" si="7"/>
        <v>24</v>
      </c>
    </row>
    <row r="54" spans="1:47" ht="60" x14ac:dyDescent="0.35">
      <c r="A54" s="362" t="s">
        <v>1478</v>
      </c>
      <c r="B54" s="307" t="s">
        <v>1295</v>
      </c>
      <c r="C54" s="362" t="s">
        <v>1556</v>
      </c>
      <c r="D54" s="363">
        <v>8</v>
      </c>
      <c r="E54" s="378">
        <v>25</v>
      </c>
      <c r="F54" s="362" t="s">
        <v>1565</v>
      </c>
      <c r="G54" s="411" t="s">
        <v>1566</v>
      </c>
      <c r="H54" s="365" t="s">
        <v>1567</v>
      </c>
      <c r="I54" s="342">
        <v>25520</v>
      </c>
      <c r="J54" s="362" t="s">
        <v>1565</v>
      </c>
      <c r="K54" s="368" t="s">
        <v>1568</v>
      </c>
      <c r="L54" s="369">
        <v>43310</v>
      </c>
      <c r="M54" s="369">
        <v>43329</v>
      </c>
      <c r="N54" s="370" t="s">
        <v>1484</v>
      </c>
      <c r="O54" s="371" t="s">
        <v>1569</v>
      </c>
      <c r="P54" s="372">
        <v>0</v>
      </c>
      <c r="Q54" s="373">
        <v>0</v>
      </c>
      <c r="R54" s="373" t="s">
        <v>1570</v>
      </c>
      <c r="S54" s="277">
        <v>0</v>
      </c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2"/>
      <c r="AE54" s="323"/>
      <c r="AF54" s="323"/>
      <c r="AG54" s="325">
        <v>15</v>
      </c>
      <c r="AH54" s="323">
        <v>4</v>
      </c>
      <c r="AI54" s="321"/>
      <c r="AJ54" s="321"/>
      <c r="AK54" s="321"/>
      <c r="AL54" s="321"/>
      <c r="AM54" s="327">
        <v>0</v>
      </c>
      <c r="AN54" s="376"/>
      <c r="AO54" s="329">
        <v>15</v>
      </c>
      <c r="AP54" s="329">
        <v>4</v>
      </c>
      <c r="AQ54" s="349">
        <v>3.75</v>
      </c>
      <c r="AR54" s="331" t="e">
        <v>#DIV/0!</v>
      </c>
      <c r="AS54" s="332">
        <v>3.75</v>
      </c>
      <c r="AT54" s="333" t="s">
        <v>1571</v>
      </c>
      <c r="AU54">
        <f t="shared" si="7"/>
        <v>30</v>
      </c>
    </row>
    <row r="55" spans="1:47" ht="72" x14ac:dyDescent="0.35">
      <c r="A55" s="362" t="s">
        <v>1478</v>
      </c>
      <c r="B55" s="307" t="s">
        <v>1295</v>
      </c>
      <c r="C55" s="362" t="s">
        <v>1556</v>
      </c>
      <c r="D55" s="363">
        <v>8</v>
      </c>
      <c r="E55" s="378">
        <v>70</v>
      </c>
      <c r="F55" s="362" t="s">
        <v>1572</v>
      </c>
      <c r="G55" s="411" t="s">
        <v>1573</v>
      </c>
      <c r="H55" s="365" t="s">
        <v>1574</v>
      </c>
      <c r="I55" s="342">
        <v>70310</v>
      </c>
      <c r="J55" s="362" t="s">
        <v>1572</v>
      </c>
      <c r="K55" s="368" t="s">
        <v>1575</v>
      </c>
      <c r="L55" s="369">
        <v>43310</v>
      </c>
      <c r="M55" s="369">
        <v>43329</v>
      </c>
      <c r="N55" s="370" t="s">
        <v>1484</v>
      </c>
      <c r="O55" s="371" t="s">
        <v>1576</v>
      </c>
      <c r="P55" s="372">
        <v>0</v>
      </c>
      <c r="Q55" s="373">
        <v>0</v>
      </c>
      <c r="R55" s="373" t="s">
        <v>1577</v>
      </c>
      <c r="S55" s="277">
        <v>0</v>
      </c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2"/>
      <c r="AE55" s="323"/>
      <c r="AF55" s="323"/>
      <c r="AG55" s="325">
        <v>18</v>
      </c>
      <c r="AH55" s="323">
        <v>8</v>
      </c>
      <c r="AI55" s="321"/>
      <c r="AJ55" s="321"/>
      <c r="AK55" s="321"/>
      <c r="AL55" s="321"/>
      <c r="AM55" s="327">
        <v>0</v>
      </c>
      <c r="AN55" s="376"/>
      <c r="AO55" s="329">
        <v>18</v>
      </c>
      <c r="AP55" s="329">
        <v>8</v>
      </c>
      <c r="AQ55" s="349">
        <v>2.25</v>
      </c>
      <c r="AR55" s="331" t="e">
        <v>#DIV/0!</v>
      </c>
      <c r="AS55" s="332">
        <v>2.25</v>
      </c>
      <c r="AT55" s="333" t="s">
        <v>1578</v>
      </c>
      <c r="AU55">
        <f t="shared" si="7"/>
        <v>36</v>
      </c>
    </row>
    <row r="56" spans="1:47" ht="48" x14ac:dyDescent="0.35">
      <c r="A56" s="362" t="s">
        <v>1478</v>
      </c>
      <c r="B56" s="307" t="s">
        <v>1295</v>
      </c>
      <c r="C56" s="362" t="s">
        <v>1579</v>
      </c>
      <c r="D56" s="363">
        <v>8</v>
      </c>
      <c r="E56" s="378">
        <v>91</v>
      </c>
      <c r="F56" s="362" t="s">
        <v>1580</v>
      </c>
      <c r="G56" s="411" t="s">
        <v>1581</v>
      </c>
      <c r="H56" s="365" t="s">
        <v>1582</v>
      </c>
      <c r="I56" s="342">
        <v>91790</v>
      </c>
      <c r="J56" s="362" t="s">
        <v>1580</v>
      </c>
      <c r="K56" s="368" t="s">
        <v>1583</v>
      </c>
      <c r="L56" s="369">
        <v>43310</v>
      </c>
      <c r="M56" s="369">
        <v>43329</v>
      </c>
      <c r="N56" s="370" t="s">
        <v>1484</v>
      </c>
      <c r="O56" s="371" t="s">
        <v>1584</v>
      </c>
      <c r="P56" s="372">
        <v>0</v>
      </c>
      <c r="Q56" s="373">
        <v>0</v>
      </c>
      <c r="R56" s="373" t="s">
        <v>1521</v>
      </c>
      <c r="S56" s="277">
        <v>0</v>
      </c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2"/>
      <c r="AE56" s="323"/>
      <c r="AF56" s="323"/>
      <c r="AG56" s="325">
        <v>15</v>
      </c>
      <c r="AH56" s="323">
        <v>3</v>
      </c>
      <c r="AI56" s="321"/>
      <c r="AJ56" s="321"/>
      <c r="AK56" s="321"/>
      <c r="AL56" s="321"/>
      <c r="AM56" s="327">
        <v>0</v>
      </c>
      <c r="AN56" s="376"/>
      <c r="AO56" s="329">
        <v>15</v>
      </c>
      <c r="AP56" s="329">
        <v>3</v>
      </c>
      <c r="AQ56" s="349">
        <v>5</v>
      </c>
      <c r="AR56" s="331" t="e">
        <v>#DIV/0!</v>
      </c>
      <c r="AS56" s="332">
        <v>5</v>
      </c>
      <c r="AT56" s="333" t="s">
        <v>1585</v>
      </c>
      <c r="AU56">
        <f t="shared" si="7"/>
        <v>30</v>
      </c>
    </row>
    <row r="57" spans="1:47" ht="48" x14ac:dyDescent="0.35">
      <c r="A57" s="362" t="s">
        <v>1478</v>
      </c>
      <c r="B57" s="307" t="s">
        <v>1295</v>
      </c>
      <c r="C57" s="362" t="s">
        <v>1579</v>
      </c>
      <c r="D57" s="363">
        <v>8</v>
      </c>
      <c r="E57" s="378">
        <v>97</v>
      </c>
      <c r="F57" s="362" t="s">
        <v>1586</v>
      </c>
      <c r="G57" s="411" t="s">
        <v>1587</v>
      </c>
      <c r="H57" s="365" t="s">
        <v>1588</v>
      </c>
      <c r="I57" s="342">
        <v>97421</v>
      </c>
      <c r="J57" s="362" t="s">
        <v>1586</v>
      </c>
      <c r="K57" s="368" t="s">
        <v>1583</v>
      </c>
      <c r="L57" s="369">
        <v>43310</v>
      </c>
      <c r="M57" s="369">
        <v>43329</v>
      </c>
      <c r="N57" s="370" t="s">
        <v>1484</v>
      </c>
      <c r="O57" s="371" t="s">
        <v>1589</v>
      </c>
      <c r="P57" s="372">
        <v>0</v>
      </c>
      <c r="Q57" s="373">
        <v>0</v>
      </c>
      <c r="R57" s="373" t="s">
        <v>1590</v>
      </c>
      <c r="S57" s="277">
        <v>0</v>
      </c>
      <c r="T57" s="321"/>
      <c r="U57" s="321"/>
      <c r="V57" s="321"/>
      <c r="W57" s="321"/>
      <c r="X57" s="321"/>
      <c r="Y57" s="321"/>
      <c r="Z57" s="321"/>
      <c r="AA57" s="321"/>
      <c r="AB57" s="321"/>
      <c r="AC57" s="321"/>
      <c r="AD57" s="322"/>
      <c r="AE57" s="323"/>
      <c r="AF57" s="323"/>
      <c r="AG57" s="325">
        <v>15</v>
      </c>
      <c r="AH57" s="323">
        <v>3</v>
      </c>
      <c r="AI57" s="321"/>
      <c r="AJ57" s="321"/>
      <c r="AK57" s="321"/>
      <c r="AL57" s="321"/>
      <c r="AM57" s="327">
        <v>0</v>
      </c>
      <c r="AN57" s="376"/>
      <c r="AO57" s="329">
        <v>15</v>
      </c>
      <c r="AP57" s="329">
        <v>3</v>
      </c>
      <c r="AQ57" s="349">
        <v>5</v>
      </c>
      <c r="AR57" s="331" t="e">
        <v>#DIV/0!</v>
      </c>
      <c r="AS57" s="332">
        <v>5</v>
      </c>
      <c r="AT57" s="333" t="s">
        <v>1591</v>
      </c>
      <c r="AU57">
        <f t="shared" si="7"/>
        <v>30</v>
      </c>
    </row>
    <row r="58" spans="1:47" ht="48" x14ac:dyDescent="0.35">
      <c r="A58" s="362" t="s">
        <v>1478</v>
      </c>
      <c r="B58" s="307" t="s">
        <v>1295</v>
      </c>
      <c r="C58" s="362" t="s">
        <v>884</v>
      </c>
      <c r="D58" s="363">
        <v>8</v>
      </c>
      <c r="E58" s="378" t="s">
        <v>1592</v>
      </c>
      <c r="F58" s="362" t="s">
        <v>1593</v>
      </c>
      <c r="G58" s="411" t="s">
        <v>1594</v>
      </c>
      <c r="H58" s="365" t="s">
        <v>1595</v>
      </c>
      <c r="I58" s="342" t="s">
        <v>1592</v>
      </c>
      <c r="J58" s="362" t="s">
        <v>1596</v>
      </c>
      <c r="K58" s="368" t="s">
        <v>1583</v>
      </c>
      <c r="L58" s="369">
        <v>43310</v>
      </c>
      <c r="M58" s="369">
        <v>43329</v>
      </c>
      <c r="N58" s="370" t="s">
        <v>1484</v>
      </c>
      <c r="O58" s="371" t="s">
        <v>1597</v>
      </c>
      <c r="P58" s="372">
        <v>0</v>
      </c>
      <c r="Q58" s="373">
        <v>0</v>
      </c>
      <c r="R58" s="373" t="s">
        <v>1598</v>
      </c>
      <c r="S58" s="277">
        <v>0</v>
      </c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2"/>
      <c r="AE58" s="323"/>
      <c r="AF58" s="323"/>
      <c r="AG58" s="325">
        <v>15</v>
      </c>
      <c r="AH58" s="323">
        <v>3</v>
      </c>
      <c r="AI58" s="321"/>
      <c r="AJ58" s="321"/>
      <c r="AK58" s="321"/>
      <c r="AL58" s="321"/>
      <c r="AM58" s="327">
        <v>0</v>
      </c>
      <c r="AN58" s="376"/>
      <c r="AO58" s="329">
        <v>15</v>
      </c>
      <c r="AP58" s="329">
        <v>3</v>
      </c>
      <c r="AQ58" s="349">
        <v>5</v>
      </c>
      <c r="AR58" s="331" t="e">
        <v>#DIV/0!</v>
      </c>
      <c r="AS58" s="332">
        <v>5</v>
      </c>
      <c r="AT58" s="333" t="s">
        <v>1599</v>
      </c>
      <c r="AU58">
        <f t="shared" si="7"/>
        <v>30</v>
      </c>
    </row>
    <row r="59" spans="1:47" ht="48" x14ac:dyDescent="0.35">
      <c r="A59" s="362" t="s">
        <v>1478</v>
      </c>
      <c r="B59" s="307" t="s">
        <v>1295</v>
      </c>
      <c r="C59" s="362" t="s">
        <v>884</v>
      </c>
      <c r="D59" s="363">
        <v>8</v>
      </c>
      <c r="E59" s="378" t="s">
        <v>1592</v>
      </c>
      <c r="F59" s="362" t="s">
        <v>1600</v>
      </c>
      <c r="G59" s="411" t="s">
        <v>1601</v>
      </c>
      <c r="H59" s="365" t="s">
        <v>1481</v>
      </c>
      <c r="I59" s="342" t="s">
        <v>1592</v>
      </c>
      <c r="J59" s="362" t="s">
        <v>1602</v>
      </c>
      <c r="K59" s="368" t="s">
        <v>1583</v>
      </c>
      <c r="L59" s="369">
        <v>43310</v>
      </c>
      <c r="M59" s="369">
        <v>43329</v>
      </c>
      <c r="N59" s="370" t="s">
        <v>1484</v>
      </c>
      <c r="O59" s="371" t="s">
        <v>1603</v>
      </c>
      <c r="P59" s="372">
        <v>0</v>
      </c>
      <c r="Q59" s="373">
        <v>0</v>
      </c>
      <c r="R59" s="373" t="s">
        <v>1604</v>
      </c>
      <c r="S59" s="277">
        <v>0</v>
      </c>
      <c r="T59" s="321"/>
      <c r="U59" s="321"/>
      <c r="V59" s="321"/>
      <c r="W59" s="321"/>
      <c r="X59" s="321"/>
      <c r="Y59" s="321"/>
      <c r="Z59" s="321"/>
      <c r="AA59" s="321"/>
      <c r="AB59" s="321"/>
      <c r="AC59" s="321"/>
      <c r="AD59" s="322"/>
      <c r="AE59" s="323"/>
      <c r="AF59" s="323"/>
      <c r="AG59" s="325">
        <v>11</v>
      </c>
      <c r="AH59" s="323">
        <v>3</v>
      </c>
      <c r="AI59" s="321"/>
      <c r="AJ59" s="321"/>
      <c r="AK59" s="321"/>
      <c r="AL59" s="321"/>
      <c r="AM59" s="327">
        <v>0</v>
      </c>
      <c r="AN59" s="376"/>
      <c r="AO59" s="329">
        <v>11</v>
      </c>
      <c r="AP59" s="329">
        <v>3</v>
      </c>
      <c r="AQ59" s="349">
        <v>3.67</v>
      </c>
      <c r="AR59" s="331" t="e">
        <v>#DIV/0!</v>
      </c>
      <c r="AS59" s="332">
        <v>3.67</v>
      </c>
      <c r="AT59" s="333" t="s">
        <v>1605</v>
      </c>
      <c r="AU59">
        <f t="shared" si="7"/>
        <v>22</v>
      </c>
    </row>
    <row r="60" spans="1:47" ht="48" x14ac:dyDescent="0.35">
      <c r="A60" s="362" t="s">
        <v>1478</v>
      </c>
      <c r="B60" s="307" t="s">
        <v>1295</v>
      </c>
      <c r="C60" s="362" t="s">
        <v>884</v>
      </c>
      <c r="D60" s="363">
        <v>8</v>
      </c>
      <c r="E60" s="378" t="s">
        <v>1592</v>
      </c>
      <c r="F60" s="362" t="s">
        <v>1606</v>
      </c>
      <c r="G60" s="411" t="s">
        <v>1607</v>
      </c>
      <c r="H60" s="365" t="s">
        <v>1608</v>
      </c>
      <c r="I60" s="342">
        <v>37029</v>
      </c>
      <c r="J60" s="362" t="s">
        <v>1606</v>
      </c>
      <c r="K60" s="368" t="s">
        <v>1583</v>
      </c>
      <c r="L60" s="369">
        <v>43310</v>
      </c>
      <c r="M60" s="369">
        <v>43329</v>
      </c>
      <c r="N60" s="370" t="s">
        <v>1484</v>
      </c>
      <c r="O60" s="371" t="s">
        <v>1609</v>
      </c>
      <c r="P60" s="372">
        <v>0</v>
      </c>
      <c r="Q60" s="373">
        <v>0</v>
      </c>
      <c r="R60" s="373" t="s">
        <v>1521</v>
      </c>
      <c r="S60" s="277">
        <v>0</v>
      </c>
      <c r="T60" s="321"/>
      <c r="U60" s="321"/>
      <c r="V60" s="321"/>
      <c r="W60" s="321"/>
      <c r="X60" s="321"/>
      <c r="Y60" s="321"/>
      <c r="Z60" s="321"/>
      <c r="AA60" s="321"/>
      <c r="AB60" s="321"/>
      <c r="AC60" s="321"/>
      <c r="AD60" s="322"/>
      <c r="AE60" s="323"/>
      <c r="AF60" s="323"/>
      <c r="AG60" s="325">
        <v>14</v>
      </c>
      <c r="AH60" s="323">
        <v>4</v>
      </c>
      <c r="AI60" s="321"/>
      <c r="AJ60" s="321"/>
      <c r="AK60" s="321"/>
      <c r="AL60" s="321"/>
      <c r="AM60" s="327">
        <v>0</v>
      </c>
      <c r="AN60" s="376"/>
      <c r="AO60" s="329">
        <v>14</v>
      </c>
      <c r="AP60" s="329">
        <v>4</v>
      </c>
      <c r="AQ60" s="349">
        <v>3.5</v>
      </c>
      <c r="AR60" s="331" t="e">
        <v>#DIV/0!</v>
      </c>
      <c r="AS60" s="332">
        <v>3.5</v>
      </c>
      <c r="AT60" s="379" t="s">
        <v>1610</v>
      </c>
      <c r="AU60">
        <f t="shared" si="7"/>
        <v>28</v>
      </c>
    </row>
    <row r="61" spans="1:47" ht="48" x14ac:dyDescent="0.35">
      <c r="A61" s="362" t="s">
        <v>1478</v>
      </c>
      <c r="B61" s="307" t="s">
        <v>1295</v>
      </c>
      <c r="C61" s="362" t="s">
        <v>1611</v>
      </c>
      <c r="D61" s="363">
        <v>8</v>
      </c>
      <c r="E61" s="378" t="s">
        <v>1592</v>
      </c>
      <c r="F61" s="362" t="s">
        <v>1612</v>
      </c>
      <c r="G61" s="411" t="s">
        <v>1613</v>
      </c>
      <c r="H61" s="365" t="s">
        <v>1614</v>
      </c>
      <c r="I61" s="342" t="s">
        <v>1592</v>
      </c>
      <c r="J61" s="362" t="s">
        <v>1612</v>
      </c>
      <c r="K61" s="368" t="s">
        <v>1583</v>
      </c>
      <c r="L61" s="369">
        <v>43310</v>
      </c>
      <c r="M61" s="369">
        <v>43329</v>
      </c>
      <c r="N61" s="370" t="s">
        <v>1484</v>
      </c>
      <c r="O61" s="371" t="s">
        <v>1615</v>
      </c>
      <c r="P61" s="372">
        <v>0</v>
      </c>
      <c r="Q61" s="373">
        <v>0</v>
      </c>
      <c r="R61" s="373" t="s">
        <v>1521</v>
      </c>
      <c r="S61" s="277">
        <v>0</v>
      </c>
      <c r="T61" s="321"/>
      <c r="U61" s="321"/>
      <c r="V61" s="321"/>
      <c r="W61" s="321"/>
      <c r="X61" s="321"/>
      <c r="Y61" s="321"/>
      <c r="Z61" s="321"/>
      <c r="AA61" s="321"/>
      <c r="AB61" s="321"/>
      <c r="AC61" s="321"/>
      <c r="AD61" s="322"/>
      <c r="AE61" s="323"/>
      <c r="AF61" s="323"/>
      <c r="AG61" s="325">
        <v>14</v>
      </c>
      <c r="AH61" s="323">
        <v>4</v>
      </c>
      <c r="AI61" s="321"/>
      <c r="AJ61" s="321"/>
      <c r="AK61" s="321"/>
      <c r="AL61" s="321"/>
      <c r="AM61" s="327">
        <v>0</v>
      </c>
      <c r="AN61" s="376"/>
      <c r="AO61" s="329">
        <v>14</v>
      </c>
      <c r="AP61" s="329">
        <v>4</v>
      </c>
      <c r="AQ61" s="349">
        <v>3.5</v>
      </c>
      <c r="AR61" s="331" t="e">
        <v>#DIV/0!</v>
      </c>
      <c r="AS61" s="332">
        <v>3.5</v>
      </c>
      <c r="AT61" s="379" t="s">
        <v>1616</v>
      </c>
      <c r="AU61">
        <f t="shared" si="7"/>
        <v>28</v>
      </c>
    </row>
    <row r="62" spans="1:47" x14ac:dyDescent="0.35">
      <c r="A62" s="362" t="s">
        <v>1478</v>
      </c>
      <c r="B62" s="307" t="s">
        <v>1295</v>
      </c>
      <c r="C62" s="362" t="s">
        <v>1617</v>
      </c>
      <c r="D62" s="363">
        <v>8</v>
      </c>
      <c r="E62" s="378">
        <v>52</v>
      </c>
      <c r="F62" s="362" t="s">
        <v>1618</v>
      </c>
      <c r="G62" s="411" t="s">
        <v>1619</v>
      </c>
      <c r="H62" s="365" t="s">
        <v>1620</v>
      </c>
      <c r="I62" s="342">
        <v>52270</v>
      </c>
      <c r="J62" s="362" t="s">
        <v>1618</v>
      </c>
      <c r="K62" s="368" t="s">
        <v>1621</v>
      </c>
      <c r="L62" s="369">
        <v>43310</v>
      </c>
      <c r="M62" s="369">
        <v>43329</v>
      </c>
      <c r="N62" s="370" t="s">
        <v>1484</v>
      </c>
      <c r="O62" s="371">
        <v>0</v>
      </c>
      <c r="P62" s="372">
        <v>0</v>
      </c>
      <c r="Q62" s="373">
        <v>0</v>
      </c>
      <c r="R62" s="373">
        <v>0</v>
      </c>
      <c r="S62" s="277">
        <v>0</v>
      </c>
      <c r="T62" s="321"/>
      <c r="U62" s="321"/>
      <c r="V62" s="321"/>
      <c r="W62" s="321"/>
      <c r="X62" s="321"/>
      <c r="Y62" s="321"/>
      <c r="Z62" s="321"/>
      <c r="AA62" s="321"/>
      <c r="AB62" s="321"/>
      <c r="AC62" s="321"/>
      <c r="AD62" s="322"/>
      <c r="AE62" s="323"/>
      <c r="AF62" s="323"/>
      <c r="AG62" s="325">
        <v>21</v>
      </c>
      <c r="AH62" s="323">
        <v>10</v>
      </c>
      <c r="AI62" s="321"/>
      <c r="AJ62" s="321"/>
      <c r="AK62" s="321"/>
      <c r="AL62" s="321"/>
      <c r="AM62" s="327">
        <v>0</v>
      </c>
      <c r="AN62" s="376"/>
      <c r="AO62" s="329">
        <v>21</v>
      </c>
      <c r="AP62" s="329">
        <v>10</v>
      </c>
      <c r="AQ62" s="349">
        <v>2.1</v>
      </c>
      <c r="AR62" s="331" t="e">
        <v>#DIV/0!</v>
      </c>
      <c r="AS62" s="332">
        <v>2.1</v>
      </c>
      <c r="AT62" s="333" t="s">
        <v>1622</v>
      </c>
      <c r="AU62">
        <f t="shared" si="7"/>
        <v>42</v>
      </c>
    </row>
    <row r="63" spans="1:47" ht="48" x14ac:dyDescent="0.35">
      <c r="A63" s="362" t="s">
        <v>1478</v>
      </c>
      <c r="B63" s="307" t="s">
        <v>1295</v>
      </c>
      <c r="C63" s="362" t="s">
        <v>1617</v>
      </c>
      <c r="D63" s="363">
        <v>8</v>
      </c>
      <c r="E63" s="378">
        <v>88</v>
      </c>
      <c r="F63" s="362" t="s">
        <v>1623</v>
      </c>
      <c r="G63" s="411" t="s">
        <v>1624</v>
      </c>
      <c r="H63" s="365" t="s">
        <v>1625</v>
      </c>
      <c r="I63" s="342">
        <v>88310</v>
      </c>
      <c r="J63" s="362" t="s">
        <v>1623</v>
      </c>
      <c r="K63" s="368" t="s">
        <v>1626</v>
      </c>
      <c r="L63" s="369">
        <v>43310</v>
      </c>
      <c r="M63" s="369">
        <v>43329</v>
      </c>
      <c r="N63" s="370" t="s">
        <v>1484</v>
      </c>
      <c r="O63" s="371" t="s">
        <v>1627</v>
      </c>
      <c r="P63" s="372">
        <v>0</v>
      </c>
      <c r="Q63" s="373">
        <v>0</v>
      </c>
      <c r="R63" s="373" t="s">
        <v>1628</v>
      </c>
      <c r="S63" s="277">
        <v>0</v>
      </c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2"/>
      <c r="AE63" s="323"/>
      <c r="AF63" s="323"/>
      <c r="AG63" s="325">
        <v>24</v>
      </c>
      <c r="AH63" s="323">
        <v>9</v>
      </c>
      <c r="AI63" s="321"/>
      <c r="AJ63" s="321"/>
      <c r="AK63" s="321"/>
      <c r="AL63" s="321"/>
      <c r="AM63" s="327">
        <v>0</v>
      </c>
      <c r="AN63" s="376"/>
      <c r="AO63" s="329">
        <v>24</v>
      </c>
      <c r="AP63" s="329">
        <v>9</v>
      </c>
      <c r="AQ63" s="349">
        <v>2.67</v>
      </c>
      <c r="AR63" s="331" t="e">
        <v>#DIV/0!</v>
      </c>
      <c r="AS63" s="332">
        <v>2.67</v>
      </c>
      <c r="AT63" s="333" t="s">
        <v>1629</v>
      </c>
      <c r="AU63">
        <f t="shared" si="7"/>
        <v>48</v>
      </c>
    </row>
    <row r="64" spans="1:47" ht="48" x14ac:dyDescent="0.35">
      <c r="A64" s="362" t="s">
        <v>1478</v>
      </c>
      <c r="B64" s="307" t="s">
        <v>1295</v>
      </c>
      <c r="C64" s="362" t="s">
        <v>1630</v>
      </c>
      <c r="D64" s="363">
        <v>8</v>
      </c>
      <c r="E64" s="420" t="s">
        <v>880</v>
      </c>
      <c r="F64" s="362" t="s">
        <v>1631</v>
      </c>
      <c r="G64" s="411" t="s">
        <v>1632</v>
      </c>
      <c r="H64" s="365" t="s">
        <v>1481</v>
      </c>
      <c r="I64" s="342" t="s">
        <v>1633</v>
      </c>
      <c r="J64" s="362" t="s">
        <v>1631</v>
      </c>
      <c r="K64" s="368" t="s">
        <v>1634</v>
      </c>
      <c r="L64" s="369">
        <v>43310</v>
      </c>
      <c r="M64" s="369">
        <v>43329</v>
      </c>
      <c r="N64" s="370" t="s">
        <v>1484</v>
      </c>
      <c r="O64" s="371" t="s">
        <v>1635</v>
      </c>
      <c r="P64" s="372">
        <v>0</v>
      </c>
      <c r="Q64" s="373">
        <v>0</v>
      </c>
      <c r="R64" s="373" t="s">
        <v>1636</v>
      </c>
      <c r="S64" s="277">
        <v>0</v>
      </c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2"/>
      <c r="AE64" s="323"/>
      <c r="AF64" s="323"/>
      <c r="AG64" s="325">
        <v>14</v>
      </c>
      <c r="AH64" s="323">
        <v>4</v>
      </c>
      <c r="AI64" s="321"/>
      <c r="AJ64" s="321"/>
      <c r="AK64" s="321"/>
      <c r="AL64" s="321"/>
      <c r="AM64" s="327">
        <v>0</v>
      </c>
      <c r="AN64" s="376"/>
      <c r="AO64" s="329">
        <v>14</v>
      </c>
      <c r="AP64" s="329">
        <v>4</v>
      </c>
      <c r="AQ64" s="349">
        <v>3.5</v>
      </c>
      <c r="AR64" s="331" t="e">
        <v>#DIV/0!</v>
      </c>
      <c r="AS64" s="332">
        <v>3.5</v>
      </c>
      <c r="AT64" s="333" t="s">
        <v>1637</v>
      </c>
      <c r="AU64">
        <f t="shared" si="7"/>
        <v>28</v>
      </c>
    </row>
    <row r="65" spans="1:47" ht="48" x14ac:dyDescent="0.35">
      <c r="A65" s="362" t="s">
        <v>1478</v>
      </c>
      <c r="B65" s="307" t="s">
        <v>1295</v>
      </c>
      <c r="C65" s="362" t="s">
        <v>1357</v>
      </c>
      <c r="D65" s="363">
        <v>8</v>
      </c>
      <c r="E65" s="378">
        <v>30</v>
      </c>
      <c r="F65" s="362" t="s">
        <v>1638</v>
      </c>
      <c r="G65" s="411" t="s">
        <v>1639</v>
      </c>
      <c r="H65" s="365" t="s">
        <v>1640</v>
      </c>
      <c r="I65" s="342">
        <v>30770</v>
      </c>
      <c r="J65" s="362" t="s">
        <v>1638</v>
      </c>
      <c r="K65" s="368" t="s">
        <v>1641</v>
      </c>
      <c r="L65" s="369">
        <v>43310</v>
      </c>
      <c r="M65" s="369">
        <v>43329</v>
      </c>
      <c r="N65" s="370" t="s">
        <v>1484</v>
      </c>
      <c r="O65" s="371" t="s">
        <v>1642</v>
      </c>
      <c r="P65" s="372">
        <v>0</v>
      </c>
      <c r="Q65" s="373">
        <v>0</v>
      </c>
      <c r="R65" s="373" t="s">
        <v>1535</v>
      </c>
      <c r="S65" s="277">
        <v>0</v>
      </c>
      <c r="T65" s="321"/>
      <c r="U65" s="321"/>
      <c r="V65" s="321"/>
      <c r="W65" s="321"/>
      <c r="X65" s="321"/>
      <c r="Y65" s="321"/>
      <c r="Z65" s="321"/>
      <c r="AA65" s="321"/>
      <c r="AB65" s="321"/>
      <c r="AC65" s="321"/>
      <c r="AD65" s="322"/>
      <c r="AE65" s="323"/>
      <c r="AF65" s="323"/>
      <c r="AG65" s="325">
        <v>21</v>
      </c>
      <c r="AH65" s="323">
        <v>7</v>
      </c>
      <c r="AI65" s="321"/>
      <c r="AJ65" s="321"/>
      <c r="AK65" s="321"/>
      <c r="AL65" s="321"/>
      <c r="AM65" s="327">
        <v>0</v>
      </c>
      <c r="AN65" s="376"/>
      <c r="AO65" s="329">
        <v>21</v>
      </c>
      <c r="AP65" s="329">
        <v>7</v>
      </c>
      <c r="AQ65" s="349">
        <v>3</v>
      </c>
      <c r="AR65" s="331" t="e">
        <v>#DIV/0!</v>
      </c>
      <c r="AS65" s="332">
        <v>3</v>
      </c>
      <c r="AT65" s="333" t="s">
        <v>1643</v>
      </c>
      <c r="AU65">
        <f t="shared" si="7"/>
        <v>42</v>
      </c>
    </row>
    <row r="66" spans="1:47" ht="60" x14ac:dyDescent="0.35">
      <c r="A66" s="362" t="s">
        <v>1478</v>
      </c>
      <c r="B66" s="307" t="s">
        <v>1295</v>
      </c>
      <c r="C66" s="362" t="s">
        <v>1357</v>
      </c>
      <c r="D66" s="363">
        <v>8</v>
      </c>
      <c r="E66" s="378">
        <v>30</v>
      </c>
      <c r="F66" s="362" t="s">
        <v>1644</v>
      </c>
      <c r="G66" s="411" t="s">
        <v>1645</v>
      </c>
      <c r="H66" s="365" t="s">
        <v>1646</v>
      </c>
      <c r="I66" s="342">
        <v>30190</v>
      </c>
      <c r="J66" s="362" t="s">
        <v>1644</v>
      </c>
      <c r="K66" s="368" t="s">
        <v>1647</v>
      </c>
      <c r="L66" s="369">
        <v>43310</v>
      </c>
      <c r="M66" s="369">
        <v>43329</v>
      </c>
      <c r="N66" s="370" t="s">
        <v>1484</v>
      </c>
      <c r="O66" s="371" t="s">
        <v>1648</v>
      </c>
      <c r="P66" s="372">
        <v>0</v>
      </c>
      <c r="Q66" s="373">
        <v>0</v>
      </c>
      <c r="R66" s="373" t="s">
        <v>1649</v>
      </c>
      <c r="S66" s="277">
        <v>0</v>
      </c>
      <c r="T66" s="321"/>
      <c r="U66" s="321"/>
      <c r="V66" s="321"/>
      <c r="W66" s="321"/>
      <c r="X66" s="321"/>
      <c r="Y66" s="321"/>
      <c r="Z66" s="321"/>
      <c r="AA66" s="321"/>
      <c r="AB66" s="321"/>
      <c r="AC66" s="321"/>
      <c r="AD66" s="322"/>
      <c r="AE66" s="323"/>
      <c r="AF66" s="323"/>
      <c r="AG66" s="325">
        <v>18</v>
      </c>
      <c r="AH66" s="323">
        <v>4</v>
      </c>
      <c r="AI66" s="321"/>
      <c r="AJ66" s="321"/>
      <c r="AK66" s="321"/>
      <c r="AL66" s="321"/>
      <c r="AM66" s="327">
        <v>0</v>
      </c>
      <c r="AN66" s="376"/>
      <c r="AO66" s="329">
        <v>18</v>
      </c>
      <c r="AP66" s="329">
        <v>4</v>
      </c>
      <c r="AQ66" s="349">
        <v>4.5</v>
      </c>
      <c r="AR66" s="331" t="e">
        <v>#DIV/0!</v>
      </c>
      <c r="AS66" s="332">
        <v>4.5</v>
      </c>
      <c r="AT66" s="333" t="s">
        <v>1650</v>
      </c>
      <c r="AU66">
        <f t="shared" si="7"/>
        <v>36</v>
      </c>
    </row>
    <row r="67" spans="1:47" ht="48" x14ac:dyDescent="0.35">
      <c r="A67" s="362" t="s">
        <v>1478</v>
      </c>
      <c r="B67" s="307" t="s">
        <v>1295</v>
      </c>
      <c r="C67" s="362" t="s">
        <v>1357</v>
      </c>
      <c r="D67" s="363">
        <v>8</v>
      </c>
      <c r="E67" s="378">
        <v>66</v>
      </c>
      <c r="F67" s="362" t="s">
        <v>1651</v>
      </c>
      <c r="G67" s="411" t="s">
        <v>1652</v>
      </c>
      <c r="H67" s="365" t="s">
        <v>1653</v>
      </c>
      <c r="I67" s="342">
        <v>66700</v>
      </c>
      <c r="J67" s="362" t="s">
        <v>1651</v>
      </c>
      <c r="K67" s="368" t="s">
        <v>1654</v>
      </c>
      <c r="L67" s="369">
        <v>43310</v>
      </c>
      <c r="M67" s="369">
        <v>43329</v>
      </c>
      <c r="N67" s="370" t="s">
        <v>1484</v>
      </c>
      <c r="O67" s="371" t="s">
        <v>1655</v>
      </c>
      <c r="P67" s="372">
        <v>0</v>
      </c>
      <c r="Q67" s="373">
        <v>0</v>
      </c>
      <c r="R67" s="373" t="s">
        <v>1590</v>
      </c>
      <c r="S67" s="277">
        <v>0</v>
      </c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2"/>
      <c r="AE67" s="323"/>
      <c r="AF67" s="323"/>
      <c r="AG67" s="325">
        <v>16</v>
      </c>
      <c r="AH67" s="323">
        <v>5</v>
      </c>
      <c r="AI67" s="321"/>
      <c r="AJ67" s="321"/>
      <c r="AK67" s="321"/>
      <c r="AL67" s="321"/>
      <c r="AM67" s="327">
        <v>0</v>
      </c>
      <c r="AN67" s="376"/>
      <c r="AO67" s="329">
        <v>16</v>
      </c>
      <c r="AP67" s="329">
        <v>5</v>
      </c>
      <c r="AQ67" s="349">
        <v>3.2</v>
      </c>
      <c r="AR67" s="331" t="e">
        <v>#DIV/0!</v>
      </c>
      <c r="AS67" s="332">
        <v>3.2</v>
      </c>
      <c r="AT67" s="333" t="s">
        <v>1656</v>
      </c>
      <c r="AU67">
        <f t="shared" si="7"/>
        <v>32</v>
      </c>
    </row>
    <row r="68" spans="1:47" ht="48" x14ac:dyDescent="0.35">
      <c r="A68" s="362" t="s">
        <v>1478</v>
      </c>
      <c r="B68" s="307" t="s">
        <v>1295</v>
      </c>
      <c r="C68" s="362" t="s">
        <v>1357</v>
      </c>
      <c r="D68" s="363">
        <v>8</v>
      </c>
      <c r="E68" s="378">
        <v>66</v>
      </c>
      <c r="F68" s="362" t="s">
        <v>1651</v>
      </c>
      <c r="G68" s="411" t="s">
        <v>1652</v>
      </c>
      <c r="H68" s="365" t="s">
        <v>1653</v>
      </c>
      <c r="I68" s="342">
        <v>66700</v>
      </c>
      <c r="J68" s="362" t="s">
        <v>1651</v>
      </c>
      <c r="K68" s="368" t="s">
        <v>1654</v>
      </c>
      <c r="L68" s="369">
        <v>43310</v>
      </c>
      <c r="M68" s="369">
        <v>43329</v>
      </c>
      <c r="N68" s="370" t="s">
        <v>1484</v>
      </c>
      <c r="O68" s="371" t="s">
        <v>1655</v>
      </c>
      <c r="P68" s="372">
        <v>0</v>
      </c>
      <c r="Q68" s="373">
        <v>0</v>
      </c>
      <c r="R68" s="373" t="s">
        <v>1590</v>
      </c>
      <c r="S68" s="277">
        <v>0</v>
      </c>
      <c r="T68" s="321"/>
      <c r="U68" s="321"/>
      <c r="V68" s="321"/>
      <c r="W68" s="321"/>
      <c r="X68" s="321"/>
      <c r="Y68" s="321"/>
      <c r="Z68" s="321"/>
      <c r="AA68" s="321"/>
      <c r="AB68" s="321"/>
      <c r="AC68" s="321"/>
      <c r="AD68" s="322"/>
      <c r="AE68" s="323"/>
      <c r="AF68" s="323"/>
      <c r="AG68" s="325">
        <v>16</v>
      </c>
      <c r="AH68" s="323">
        <v>6</v>
      </c>
      <c r="AI68" s="321"/>
      <c r="AJ68" s="321"/>
      <c r="AK68" s="321"/>
      <c r="AL68" s="321"/>
      <c r="AM68" s="327">
        <v>0</v>
      </c>
      <c r="AN68" s="376"/>
      <c r="AO68" s="329">
        <v>16</v>
      </c>
      <c r="AP68" s="329">
        <v>6</v>
      </c>
      <c r="AQ68" s="349">
        <v>2.67</v>
      </c>
      <c r="AR68" s="331" t="e">
        <v>#DIV/0!</v>
      </c>
      <c r="AS68" s="332">
        <v>2.67</v>
      </c>
      <c r="AT68" s="333" t="s">
        <v>1657</v>
      </c>
      <c r="AU68">
        <f t="shared" ref="AU68:AU120" si="13">AG68+AO68</f>
        <v>32</v>
      </c>
    </row>
    <row r="69" spans="1:47" x14ac:dyDescent="0.35">
      <c r="A69" s="362" t="s">
        <v>1478</v>
      </c>
      <c r="B69" s="307" t="s">
        <v>1295</v>
      </c>
      <c r="C69" s="362" t="s">
        <v>1357</v>
      </c>
      <c r="D69" s="363">
        <v>8</v>
      </c>
      <c r="E69" s="378">
        <v>66</v>
      </c>
      <c r="F69" s="362" t="s">
        <v>1658</v>
      </c>
      <c r="G69" s="411">
        <v>66188</v>
      </c>
      <c r="H69" s="365" t="s">
        <v>1659</v>
      </c>
      <c r="I69" s="342">
        <v>66210</v>
      </c>
      <c r="J69" s="362" t="s">
        <v>1658</v>
      </c>
      <c r="K69" s="368" t="s">
        <v>1660</v>
      </c>
      <c r="L69" s="369">
        <v>43310</v>
      </c>
      <c r="M69" s="369">
        <v>43329</v>
      </c>
      <c r="N69" s="370" t="s">
        <v>1484</v>
      </c>
      <c r="O69" s="348" t="s">
        <v>1661</v>
      </c>
      <c r="P69" s="372">
        <v>0</v>
      </c>
      <c r="Q69" s="373">
        <v>0</v>
      </c>
      <c r="R69" s="373">
        <v>0</v>
      </c>
      <c r="S69" s="277">
        <v>0</v>
      </c>
      <c r="T69" s="321"/>
      <c r="U69" s="321"/>
      <c r="V69" s="321"/>
      <c r="W69" s="321"/>
      <c r="X69" s="321"/>
      <c r="Y69" s="321"/>
      <c r="Z69" s="321"/>
      <c r="AA69" s="321"/>
      <c r="AB69" s="321"/>
      <c r="AC69" s="321"/>
      <c r="AD69" s="322"/>
      <c r="AE69" s="323"/>
      <c r="AF69" s="323"/>
      <c r="AG69" s="325">
        <v>14</v>
      </c>
      <c r="AH69" s="323">
        <v>6</v>
      </c>
      <c r="AI69" s="321"/>
      <c r="AJ69" s="321"/>
      <c r="AK69" s="321"/>
      <c r="AL69" s="321"/>
      <c r="AM69" s="327">
        <v>0</v>
      </c>
      <c r="AN69" s="376"/>
      <c r="AO69" s="329">
        <v>14</v>
      </c>
      <c r="AP69" s="329">
        <v>6</v>
      </c>
      <c r="AQ69" s="349">
        <v>2.33</v>
      </c>
      <c r="AR69" s="331" t="e">
        <v>#DIV/0!</v>
      </c>
      <c r="AS69" s="332">
        <v>2.33</v>
      </c>
      <c r="AT69" s="333" t="s">
        <v>1661</v>
      </c>
      <c r="AU69">
        <f t="shared" si="13"/>
        <v>28</v>
      </c>
    </row>
    <row r="70" spans="1:47" ht="48" x14ac:dyDescent="0.35">
      <c r="A70" s="362" t="s">
        <v>1478</v>
      </c>
      <c r="B70" s="307" t="s">
        <v>1295</v>
      </c>
      <c r="C70" s="362" t="s">
        <v>1357</v>
      </c>
      <c r="D70" s="363">
        <v>8</v>
      </c>
      <c r="E70" s="378">
        <v>66</v>
      </c>
      <c r="F70" s="362" t="s">
        <v>1658</v>
      </c>
      <c r="G70" s="411">
        <v>66188</v>
      </c>
      <c r="H70" s="365" t="s">
        <v>1659</v>
      </c>
      <c r="I70" s="342">
        <v>66210</v>
      </c>
      <c r="J70" s="362" t="s">
        <v>1658</v>
      </c>
      <c r="K70" s="368" t="s">
        <v>1660</v>
      </c>
      <c r="L70" s="369">
        <v>43310</v>
      </c>
      <c r="M70" s="369">
        <v>43329</v>
      </c>
      <c r="N70" s="370" t="s">
        <v>1484</v>
      </c>
      <c r="O70" s="371" t="s">
        <v>1662</v>
      </c>
      <c r="P70" s="372">
        <v>0</v>
      </c>
      <c r="Q70" s="373">
        <v>0</v>
      </c>
      <c r="R70" s="373" t="s">
        <v>1663</v>
      </c>
      <c r="S70" s="277">
        <v>0</v>
      </c>
      <c r="T70" s="321"/>
      <c r="U70" s="321"/>
      <c r="V70" s="321"/>
      <c r="W70" s="321"/>
      <c r="X70" s="321"/>
      <c r="Y70" s="321"/>
      <c r="Z70" s="321"/>
      <c r="AA70" s="321"/>
      <c r="AB70" s="321"/>
      <c r="AC70" s="321"/>
      <c r="AD70" s="322"/>
      <c r="AE70" s="323"/>
      <c r="AF70" s="323"/>
      <c r="AG70" s="325">
        <v>12</v>
      </c>
      <c r="AH70" s="323">
        <v>7</v>
      </c>
      <c r="AI70" s="321"/>
      <c r="AJ70" s="321"/>
      <c r="AK70" s="321"/>
      <c r="AL70" s="321"/>
      <c r="AM70" s="327">
        <v>0</v>
      </c>
      <c r="AN70" s="376"/>
      <c r="AO70" s="329">
        <v>12</v>
      </c>
      <c r="AP70" s="329">
        <v>7</v>
      </c>
      <c r="AQ70" s="349">
        <v>1.71</v>
      </c>
      <c r="AR70" s="331" t="e">
        <v>#DIV/0!</v>
      </c>
      <c r="AS70" s="332">
        <v>1.71</v>
      </c>
      <c r="AT70" s="333" t="s">
        <v>1664</v>
      </c>
      <c r="AU70">
        <f t="shared" si="13"/>
        <v>24</v>
      </c>
    </row>
    <row r="71" spans="1:47" ht="48" x14ac:dyDescent="0.35">
      <c r="A71" s="362" t="s">
        <v>1478</v>
      </c>
      <c r="B71" s="307" t="s">
        <v>1295</v>
      </c>
      <c r="C71" s="362" t="s">
        <v>1357</v>
      </c>
      <c r="D71" s="363">
        <v>8</v>
      </c>
      <c r="E71" s="378">
        <v>66</v>
      </c>
      <c r="F71" s="362" t="s">
        <v>1665</v>
      </c>
      <c r="G71" s="411" t="s">
        <v>1666</v>
      </c>
      <c r="H71" s="365" t="s">
        <v>1667</v>
      </c>
      <c r="I71" s="342">
        <v>66440</v>
      </c>
      <c r="J71" s="362" t="s">
        <v>1665</v>
      </c>
      <c r="K71" s="368" t="s">
        <v>1668</v>
      </c>
      <c r="L71" s="369">
        <v>43310</v>
      </c>
      <c r="M71" s="369">
        <v>43329</v>
      </c>
      <c r="N71" s="370" t="s">
        <v>1484</v>
      </c>
      <c r="O71" s="371" t="s">
        <v>1669</v>
      </c>
      <c r="P71" s="372">
        <v>0</v>
      </c>
      <c r="Q71" s="373">
        <v>0</v>
      </c>
      <c r="R71" s="373" t="s">
        <v>1486</v>
      </c>
      <c r="S71" s="277">
        <v>0</v>
      </c>
      <c r="T71" s="321"/>
      <c r="U71" s="321"/>
      <c r="V71" s="321"/>
      <c r="W71" s="321"/>
      <c r="X71" s="321"/>
      <c r="Y71" s="321"/>
      <c r="Z71" s="321"/>
      <c r="AA71" s="321"/>
      <c r="AB71" s="321"/>
      <c r="AC71" s="321"/>
      <c r="AD71" s="322"/>
      <c r="AE71" s="323"/>
      <c r="AF71" s="323"/>
      <c r="AG71" s="325">
        <v>16</v>
      </c>
      <c r="AH71" s="323">
        <v>6</v>
      </c>
      <c r="AI71" s="321"/>
      <c r="AJ71" s="321"/>
      <c r="AK71" s="321"/>
      <c r="AL71" s="321"/>
      <c r="AM71" s="327">
        <v>0</v>
      </c>
      <c r="AN71" s="376"/>
      <c r="AO71" s="329">
        <v>16</v>
      </c>
      <c r="AP71" s="329">
        <v>6</v>
      </c>
      <c r="AQ71" s="349">
        <v>2.67</v>
      </c>
      <c r="AR71" s="331" t="e">
        <v>#DIV/0!</v>
      </c>
      <c r="AS71" s="332">
        <v>2.67</v>
      </c>
      <c r="AT71" s="333" t="s">
        <v>1670</v>
      </c>
      <c r="AU71">
        <f t="shared" si="13"/>
        <v>32</v>
      </c>
    </row>
    <row r="72" spans="1:47" ht="60" x14ac:dyDescent="0.35">
      <c r="A72" s="362" t="s">
        <v>1478</v>
      </c>
      <c r="B72" s="307" t="s">
        <v>1295</v>
      </c>
      <c r="C72" s="362" t="s">
        <v>89</v>
      </c>
      <c r="D72" s="363">
        <v>8</v>
      </c>
      <c r="E72" s="378">
        <v>84</v>
      </c>
      <c r="F72" s="362" t="s">
        <v>1671</v>
      </c>
      <c r="G72" s="411" t="s">
        <v>1672</v>
      </c>
      <c r="H72" s="365" t="s">
        <v>1673</v>
      </c>
      <c r="I72" s="342">
        <v>84800</v>
      </c>
      <c r="J72" s="362" t="s">
        <v>1671</v>
      </c>
      <c r="K72" s="368" t="s">
        <v>1674</v>
      </c>
      <c r="L72" s="369">
        <v>43310</v>
      </c>
      <c r="M72" s="369">
        <v>43329</v>
      </c>
      <c r="N72" s="370" t="s">
        <v>1484</v>
      </c>
      <c r="O72" s="371" t="s">
        <v>1675</v>
      </c>
      <c r="P72" s="372">
        <v>0</v>
      </c>
      <c r="Q72" s="373">
        <v>0</v>
      </c>
      <c r="R72" s="373" t="s">
        <v>1676</v>
      </c>
      <c r="S72" s="277">
        <v>0</v>
      </c>
      <c r="T72" s="321"/>
      <c r="U72" s="321"/>
      <c r="V72" s="321"/>
      <c r="W72" s="321"/>
      <c r="X72" s="321"/>
      <c r="Y72" s="321"/>
      <c r="Z72" s="321"/>
      <c r="AA72" s="321"/>
      <c r="AB72" s="321"/>
      <c r="AC72" s="321"/>
      <c r="AD72" s="322"/>
      <c r="AE72" s="323"/>
      <c r="AF72" s="323"/>
      <c r="AG72" s="325">
        <v>21</v>
      </c>
      <c r="AH72" s="323">
        <v>6</v>
      </c>
      <c r="AI72" s="321"/>
      <c r="AJ72" s="321"/>
      <c r="AK72" s="321"/>
      <c r="AL72" s="321"/>
      <c r="AM72" s="327">
        <v>0</v>
      </c>
      <c r="AN72" s="376"/>
      <c r="AO72" s="329">
        <v>21</v>
      </c>
      <c r="AP72" s="329">
        <v>6</v>
      </c>
      <c r="AQ72" s="349">
        <v>3.5</v>
      </c>
      <c r="AR72" s="331" t="e">
        <v>#DIV/0!</v>
      </c>
      <c r="AS72" s="332">
        <v>3.5</v>
      </c>
      <c r="AT72" s="333" t="s">
        <v>1677</v>
      </c>
      <c r="AU72">
        <f t="shared" si="13"/>
        <v>42</v>
      </c>
    </row>
    <row r="73" spans="1:47" ht="48" x14ac:dyDescent="0.35">
      <c r="A73" s="362" t="s">
        <v>1478</v>
      </c>
      <c r="B73" s="307" t="s">
        <v>1295</v>
      </c>
      <c r="C73" s="362" t="s">
        <v>89</v>
      </c>
      <c r="D73" s="363">
        <v>8</v>
      </c>
      <c r="E73" s="378" t="s">
        <v>88</v>
      </c>
      <c r="F73" s="362" t="s">
        <v>1678</v>
      </c>
      <c r="G73" s="411" t="s">
        <v>907</v>
      </c>
      <c r="H73" s="365" t="s">
        <v>1679</v>
      </c>
      <c r="I73" s="312">
        <v>5220</v>
      </c>
      <c r="J73" s="362" t="s">
        <v>1678</v>
      </c>
      <c r="K73" s="368" t="s">
        <v>1680</v>
      </c>
      <c r="L73" s="369">
        <v>43310</v>
      </c>
      <c r="M73" s="369">
        <v>43329</v>
      </c>
      <c r="N73" s="370" t="s">
        <v>1484</v>
      </c>
      <c r="O73" s="371" t="s">
        <v>1681</v>
      </c>
      <c r="P73" s="372">
        <v>0</v>
      </c>
      <c r="Q73" s="373">
        <v>0</v>
      </c>
      <c r="R73" s="373" t="s">
        <v>1535</v>
      </c>
      <c r="S73" s="277">
        <v>0</v>
      </c>
      <c r="T73" s="321"/>
      <c r="U73" s="321"/>
      <c r="V73" s="321"/>
      <c r="W73" s="321"/>
      <c r="X73" s="321"/>
      <c r="Y73" s="321"/>
      <c r="Z73" s="321"/>
      <c r="AA73" s="321"/>
      <c r="AB73" s="321"/>
      <c r="AC73" s="321"/>
      <c r="AD73" s="322"/>
      <c r="AE73" s="323"/>
      <c r="AF73" s="323"/>
      <c r="AG73" s="325">
        <v>16</v>
      </c>
      <c r="AH73" s="323">
        <v>5</v>
      </c>
      <c r="AI73" s="321"/>
      <c r="AJ73" s="321"/>
      <c r="AK73" s="321"/>
      <c r="AL73" s="321"/>
      <c r="AM73" s="327">
        <v>0</v>
      </c>
      <c r="AN73" s="376"/>
      <c r="AO73" s="329">
        <v>16</v>
      </c>
      <c r="AP73" s="329">
        <v>5</v>
      </c>
      <c r="AQ73" s="349">
        <v>3.2</v>
      </c>
      <c r="AR73" s="331" t="e">
        <v>#DIV/0!</v>
      </c>
      <c r="AS73" s="332">
        <v>3.2</v>
      </c>
      <c r="AT73" s="379" t="s">
        <v>1682</v>
      </c>
      <c r="AU73">
        <f t="shared" si="13"/>
        <v>32</v>
      </c>
    </row>
    <row r="74" spans="1:47" ht="60" x14ac:dyDescent="0.35">
      <c r="A74" s="362" t="s">
        <v>1478</v>
      </c>
      <c r="B74" s="307" t="s">
        <v>1295</v>
      </c>
      <c r="C74" s="362" t="s">
        <v>89</v>
      </c>
      <c r="D74" s="363">
        <v>8</v>
      </c>
      <c r="E74" s="378" t="s">
        <v>629</v>
      </c>
      <c r="F74" s="362" t="s">
        <v>1683</v>
      </c>
      <c r="G74" s="411" t="s">
        <v>1684</v>
      </c>
      <c r="H74" s="365" t="s">
        <v>1685</v>
      </c>
      <c r="I74" s="312">
        <v>6640</v>
      </c>
      <c r="J74" s="362" t="s">
        <v>1683</v>
      </c>
      <c r="K74" s="368" t="s">
        <v>1686</v>
      </c>
      <c r="L74" s="369">
        <v>43310</v>
      </c>
      <c r="M74" s="369">
        <v>43329</v>
      </c>
      <c r="N74" s="370" t="s">
        <v>1484</v>
      </c>
      <c r="O74" s="371" t="s">
        <v>1687</v>
      </c>
      <c r="P74" s="372">
        <v>0</v>
      </c>
      <c r="Q74" s="373">
        <v>0</v>
      </c>
      <c r="R74" s="373" t="s">
        <v>1688</v>
      </c>
      <c r="S74" s="277">
        <v>0</v>
      </c>
      <c r="T74" s="321"/>
      <c r="U74" s="321"/>
      <c r="V74" s="321"/>
      <c r="W74" s="321"/>
      <c r="X74" s="321"/>
      <c r="Y74" s="321"/>
      <c r="Z74" s="321"/>
      <c r="AA74" s="321"/>
      <c r="AB74" s="321"/>
      <c r="AC74" s="321"/>
      <c r="AD74" s="322"/>
      <c r="AE74" s="323"/>
      <c r="AF74" s="323"/>
      <c r="AG74" s="325">
        <v>14</v>
      </c>
      <c r="AH74" s="323">
        <v>3</v>
      </c>
      <c r="AI74" s="321"/>
      <c r="AJ74" s="321"/>
      <c r="AK74" s="321"/>
      <c r="AL74" s="321"/>
      <c r="AM74" s="327">
        <v>0</v>
      </c>
      <c r="AN74" s="376"/>
      <c r="AO74" s="329">
        <v>14</v>
      </c>
      <c r="AP74" s="329">
        <v>3</v>
      </c>
      <c r="AQ74" s="349">
        <v>4.67</v>
      </c>
      <c r="AR74" s="331" t="e">
        <v>#DIV/0!</v>
      </c>
      <c r="AS74" s="332">
        <v>4.67</v>
      </c>
      <c r="AT74" s="379" t="s">
        <v>1689</v>
      </c>
      <c r="AU74">
        <f t="shared" si="13"/>
        <v>28</v>
      </c>
    </row>
    <row r="75" spans="1:47" ht="60" x14ac:dyDescent="0.35">
      <c r="A75" s="362" t="s">
        <v>1478</v>
      </c>
      <c r="B75" s="337" t="s">
        <v>1312</v>
      </c>
      <c r="C75" s="362" t="s">
        <v>1382</v>
      </c>
      <c r="D75" s="362">
        <v>8</v>
      </c>
      <c r="E75" s="398">
        <v>38</v>
      </c>
      <c r="F75" s="362" t="s">
        <v>1690</v>
      </c>
      <c r="G75" s="411" t="s">
        <v>1691</v>
      </c>
      <c r="H75" s="380" t="s">
        <v>1692</v>
      </c>
      <c r="I75" s="381">
        <v>38490</v>
      </c>
      <c r="J75" s="362" t="s">
        <v>1690</v>
      </c>
      <c r="K75" s="368" t="s">
        <v>1693</v>
      </c>
      <c r="L75" s="369">
        <v>43310</v>
      </c>
      <c r="M75" s="369">
        <v>43329</v>
      </c>
      <c r="N75" s="370" t="s">
        <v>1484</v>
      </c>
      <c r="O75" s="371" t="s">
        <v>1694</v>
      </c>
      <c r="P75" s="372">
        <v>0</v>
      </c>
      <c r="Q75" s="373">
        <v>0</v>
      </c>
      <c r="R75" s="373" t="s">
        <v>1493</v>
      </c>
      <c r="S75" s="277"/>
      <c r="T75" s="321"/>
      <c r="U75" s="321"/>
      <c r="V75" s="321"/>
      <c r="W75" s="321"/>
      <c r="X75" s="321"/>
      <c r="Y75" s="321"/>
      <c r="Z75" s="321"/>
      <c r="AA75" s="321"/>
      <c r="AB75" s="321"/>
      <c r="AC75" s="321"/>
      <c r="AD75" s="322" t="s">
        <v>1303</v>
      </c>
      <c r="AE75" s="382"/>
      <c r="AF75" s="382"/>
      <c r="AG75" s="325">
        <v>0</v>
      </c>
      <c r="AH75" s="383"/>
      <c r="AI75" s="201"/>
      <c r="AJ75" s="201"/>
      <c r="AK75" s="201">
        <v>12</v>
      </c>
      <c r="AL75" s="201">
        <v>12</v>
      </c>
      <c r="AM75" s="327">
        <v>24</v>
      </c>
      <c r="AN75" s="336">
        <v>9</v>
      </c>
      <c r="AO75" s="329">
        <v>24</v>
      </c>
      <c r="AP75" s="329">
        <v>9</v>
      </c>
      <c r="AQ75" s="331" t="e">
        <v>#DIV/0!</v>
      </c>
      <c r="AR75" s="330">
        <v>2.67</v>
      </c>
      <c r="AS75" s="332">
        <v>2.67</v>
      </c>
      <c r="AT75" s="379" t="s">
        <v>1695</v>
      </c>
      <c r="AU75">
        <f t="shared" si="13"/>
        <v>24</v>
      </c>
    </row>
    <row r="76" spans="1:47" ht="24" x14ac:dyDescent="0.35">
      <c r="A76" s="362" t="s">
        <v>1478</v>
      </c>
      <c r="B76" s="337" t="s">
        <v>1312</v>
      </c>
      <c r="C76" s="362" t="s">
        <v>1556</v>
      </c>
      <c r="D76" s="362">
        <v>8</v>
      </c>
      <c r="E76" s="398">
        <v>39</v>
      </c>
      <c r="F76" s="362" t="s">
        <v>1696</v>
      </c>
      <c r="G76" s="411" t="s">
        <v>1697</v>
      </c>
      <c r="H76" s="380" t="s">
        <v>1698</v>
      </c>
      <c r="I76" s="381">
        <v>39300</v>
      </c>
      <c r="J76" s="362" t="s">
        <v>1696</v>
      </c>
      <c r="K76" s="368" t="s">
        <v>1699</v>
      </c>
      <c r="L76" s="369">
        <v>43310</v>
      </c>
      <c r="M76" s="369">
        <v>43329</v>
      </c>
      <c r="N76" s="370" t="s">
        <v>1484</v>
      </c>
      <c r="O76" s="371" t="s">
        <v>1700</v>
      </c>
      <c r="P76" s="372">
        <v>0</v>
      </c>
      <c r="Q76" s="373">
        <v>0</v>
      </c>
      <c r="R76" s="373" t="s">
        <v>1701</v>
      </c>
      <c r="S76" s="277">
        <v>0</v>
      </c>
      <c r="T76" s="321"/>
      <c r="U76" s="321"/>
      <c r="V76" s="321"/>
      <c r="W76" s="321"/>
      <c r="X76" s="321"/>
      <c r="Y76" s="321"/>
      <c r="Z76" s="321"/>
      <c r="AA76" s="321"/>
      <c r="AB76" s="321"/>
      <c r="AC76" s="321"/>
      <c r="AD76" s="322" t="s">
        <v>1303</v>
      </c>
      <c r="AE76" s="382"/>
      <c r="AF76" s="382"/>
      <c r="AG76" s="325">
        <v>0</v>
      </c>
      <c r="AH76" s="383"/>
      <c r="AI76" s="201"/>
      <c r="AJ76" s="201">
        <v>9</v>
      </c>
      <c r="AK76" s="201">
        <v>9</v>
      </c>
      <c r="AL76" s="201"/>
      <c r="AM76" s="327">
        <v>18</v>
      </c>
      <c r="AN76" s="336">
        <v>10</v>
      </c>
      <c r="AO76" s="329">
        <v>18</v>
      </c>
      <c r="AP76" s="329">
        <v>10</v>
      </c>
      <c r="AQ76" s="331" t="e">
        <v>#DIV/0!</v>
      </c>
      <c r="AR76" s="330">
        <v>1.8</v>
      </c>
      <c r="AS76" s="332">
        <v>1.8</v>
      </c>
      <c r="AT76" s="379" t="s">
        <v>1702</v>
      </c>
      <c r="AU76">
        <f t="shared" si="13"/>
        <v>18</v>
      </c>
    </row>
    <row r="77" spans="1:47" ht="48" x14ac:dyDescent="0.35">
      <c r="A77" s="362" t="s">
        <v>1478</v>
      </c>
      <c r="B77" s="337" t="s">
        <v>1312</v>
      </c>
      <c r="C77" s="362" t="s">
        <v>1556</v>
      </c>
      <c r="D77" s="362">
        <v>8</v>
      </c>
      <c r="E77" s="398">
        <v>39</v>
      </c>
      <c r="F77" s="362" t="s">
        <v>1703</v>
      </c>
      <c r="G77" s="411" t="s">
        <v>1704</v>
      </c>
      <c r="H77" s="380" t="s">
        <v>1705</v>
      </c>
      <c r="I77" s="381">
        <v>39220</v>
      </c>
      <c r="J77" s="362" t="s">
        <v>1703</v>
      </c>
      <c r="K77" s="368" t="s">
        <v>1706</v>
      </c>
      <c r="L77" s="369">
        <v>43310</v>
      </c>
      <c r="M77" s="369">
        <v>43329</v>
      </c>
      <c r="N77" s="370" t="s">
        <v>1484</v>
      </c>
      <c r="O77" s="371" t="s">
        <v>1707</v>
      </c>
      <c r="P77" s="372">
        <v>0</v>
      </c>
      <c r="Q77" s="373">
        <v>0</v>
      </c>
      <c r="R77" s="373" t="s">
        <v>1708</v>
      </c>
      <c r="S77" s="277">
        <v>0</v>
      </c>
      <c r="T77" s="321"/>
      <c r="U77" s="321"/>
      <c r="V77" s="321"/>
      <c r="W77" s="321"/>
      <c r="X77" s="321"/>
      <c r="Y77" s="321"/>
      <c r="Z77" s="321"/>
      <c r="AA77" s="321"/>
      <c r="AB77" s="321"/>
      <c r="AC77" s="321"/>
      <c r="AD77" s="322" t="s">
        <v>1303</v>
      </c>
      <c r="AE77" s="382"/>
      <c r="AF77" s="382"/>
      <c r="AG77" s="325">
        <v>0</v>
      </c>
      <c r="AH77" s="383"/>
      <c r="AI77" s="201"/>
      <c r="AJ77" s="201"/>
      <c r="AK77" s="201"/>
      <c r="AL77" s="201">
        <v>15</v>
      </c>
      <c r="AM77" s="327">
        <v>15</v>
      </c>
      <c r="AN77" s="336">
        <v>5</v>
      </c>
      <c r="AO77" s="329">
        <v>15</v>
      </c>
      <c r="AP77" s="329">
        <v>5</v>
      </c>
      <c r="AQ77" s="331" t="e">
        <v>#DIV/0!</v>
      </c>
      <c r="AR77" s="330">
        <v>3</v>
      </c>
      <c r="AS77" s="332">
        <v>3</v>
      </c>
      <c r="AT77" s="379" t="s">
        <v>1709</v>
      </c>
      <c r="AU77">
        <f t="shared" si="13"/>
        <v>15</v>
      </c>
    </row>
    <row r="78" spans="1:47" ht="24" x14ac:dyDescent="0.35">
      <c r="A78" s="362" t="s">
        <v>1478</v>
      </c>
      <c r="B78" s="337" t="s">
        <v>1312</v>
      </c>
      <c r="C78" s="362" t="s">
        <v>1556</v>
      </c>
      <c r="D78" s="362">
        <v>8</v>
      </c>
      <c r="E78" s="421">
        <v>71</v>
      </c>
      <c r="F78" s="362" t="s">
        <v>1710</v>
      </c>
      <c r="G78" s="411" t="s">
        <v>1711</v>
      </c>
      <c r="H78" s="380" t="s">
        <v>1712</v>
      </c>
      <c r="I78" s="385">
        <v>71190</v>
      </c>
      <c r="J78" s="364" t="s">
        <v>1710</v>
      </c>
      <c r="K78" s="368" t="s">
        <v>1713</v>
      </c>
      <c r="L78" s="369">
        <v>43310</v>
      </c>
      <c r="M78" s="369">
        <v>43329</v>
      </c>
      <c r="N78" s="370" t="s">
        <v>1484</v>
      </c>
      <c r="O78" s="371" t="s">
        <v>1714</v>
      </c>
      <c r="P78" s="372">
        <v>0</v>
      </c>
      <c r="Q78" s="373">
        <v>0</v>
      </c>
      <c r="R78" s="373" t="s">
        <v>1715</v>
      </c>
      <c r="S78" s="277">
        <v>0</v>
      </c>
      <c r="T78" s="321"/>
      <c r="U78" s="321"/>
      <c r="V78" s="321"/>
      <c r="W78" s="321"/>
      <c r="X78" s="321"/>
      <c r="Y78" s="321"/>
      <c r="Z78" s="321"/>
      <c r="AA78" s="321"/>
      <c r="AB78" s="321"/>
      <c r="AC78" s="321"/>
      <c r="AD78" s="322" t="s">
        <v>1303</v>
      </c>
      <c r="AE78" s="382"/>
      <c r="AF78" s="382"/>
      <c r="AG78" s="325">
        <v>0</v>
      </c>
      <c r="AH78" s="383"/>
      <c r="AI78" s="201"/>
      <c r="AJ78" s="201"/>
      <c r="AK78" s="201">
        <v>9</v>
      </c>
      <c r="AL78" s="201">
        <v>9</v>
      </c>
      <c r="AM78" s="327">
        <v>18</v>
      </c>
      <c r="AN78" s="336">
        <v>8</v>
      </c>
      <c r="AO78" s="329">
        <v>18</v>
      </c>
      <c r="AP78" s="329">
        <v>8</v>
      </c>
      <c r="AQ78" s="331" t="e">
        <v>#DIV/0!</v>
      </c>
      <c r="AR78" s="330">
        <v>2.25</v>
      </c>
      <c r="AS78" s="332">
        <v>2.25</v>
      </c>
      <c r="AT78" s="379" t="s">
        <v>1716</v>
      </c>
      <c r="AU78">
        <f t="shared" si="13"/>
        <v>18</v>
      </c>
    </row>
    <row r="79" spans="1:47" x14ac:dyDescent="0.35">
      <c r="A79" s="362" t="s">
        <v>1478</v>
      </c>
      <c r="B79" s="337" t="s">
        <v>1312</v>
      </c>
      <c r="C79" s="362" t="s">
        <v>1717</v>
      </c>
      <c r="D79" s="362">
        <v>8</v>
      </c>
      <c r="E79" s="422" t="s">
        <v>1718</v>
      </c>
      <c r="F79" s="386" t="s">
        <v>1719</v>
      </c>
      <c r="G79" s="411" t="s">
        <v>1632</v>
      </c>
      <c r="H79" s="365" t="s">
        <v>1481</v>
      </c>
      <c r="I79" s="387" t="s">
        <v>1718</v>
      </c>
      <c r="J79" s="388"/>
      <c r="K79" s="362" t="s">
        <v>1720</v>
      </c>
      <c r="L79" s="369">
        <v>43310</v>
      </c>
      <c r="M79" s="369">
        <v>43329</v>
      </c>
      <c r="N79" s="370" t="s">
        <v>1484</v>
      </c>
      <c r="O79" s="371" t="s">
        <v>1721</v>
      </c>
      <c r="P79" s="372">
        <v>0</v>
      </c>
      <c r="Q79" s="373">
        <v>0</v>
      </c>
      <c r="R79" s="373">
        <v>0</v>
      </c>
      <c r="S79" s="277">
        <v>0</v>
      </c>
      <c r="T79" s="321"/>
      <c r="U79" s="321"/>
      <c r="V79" s="321"/>
      <c r="W79" s="321"/>
      <c r="X79" s="321"/>
      <c r="Y79" s="321"/>
      <c r="Z79" s="321"/>
      <c r="AA79" s="321"/>
      <c r="AB79" s="321"/>
      <c r="AC79" s="321"/>
      <c r="AD79" s="322" t="s">
        <v>1303</v>
      </c>
      <c r="AE79" s="382"/>
      <c r="AF79" s="382"/>
      <c r="AG79" s="325">
        <v>0</v>
      </c>
      <c r="AH79" s="383"/>
      <c r="AI79" s="201"/>
      <c r="AJ79" s="201"/>
      <c r="AK79" s="201"/>
      <c r="AL79" s="201">
        <v>14</v>
      </c>
      <c r="AM79" s="327">
        <v>14</v>
      </c>
      <c r="AN79" s="336">
        <v>4</v>
      </c>
      <c r="AO79" s="329">
        <v>14</v>
      </c>
      <c r="AP79" s="329">
        <v>4</v>
      </c>
      <c r="AQ79" s="331" t="e">
        <v>#DIV/0!</v>
      </c>
      <c r="AR79" s="330">
        <v>3.5</v>
      </c>
      <c r="AS79" s="332">
        <v>3.5</v>
      </c>
      <c r="AT79" s="379" t="s">
        <v>1722</v>
      </c>
      <c r="AU79">
        <f t="shared" si="13"/>
        <v>14</v>
      </c>
    </row>
    <row r="80" spans="1:47" ht="48" x14ac:dyDescent="0.35">
      <c r="A80" s="362" t="s">
        <v>1478</v>
      </c>
      <c r="B80" s="337" t="s">
        <v>1312</v>
      </c>
      <c r="C80" s="373" t="s">
        <v>1357</v>
      </c>
      <c r="D80" s="362">
        <v>8</v>
      </c>
      <c r="E80" s="398">
        <v>12</v>
      </c>
      <c r="F80" s="362" t="s">
        <v>1723</v>
      </c>
      <c r="G80" s="411" t="s">
        <v>902</v>
      </c>
      <c r="H80" s="380" t="s">
        <v>1724</v>
      </c>
      <c r="I80" s="381">
        <v>12520</v>
      </c>
      <c r="J80" s="362" t="s">
        <v>1723</v>
      </c>
      <c r="K80" s="368" t="s">
        <v>1725</v>
      </c>
      <c r="L80" s="369">
        <v>43310</v>
      </c>
      <c r="M80" s="369">
        <v>43329</v>
      </c>
      <c r="N80" s="370" t="s">
        <v>1484</v>
      </c>
      <c r="O80" s="371" t="s">
        <v>1726</v>
      </c>
      <c r="P80" s="372">
        <v>0</v>
      </c>
      <c r="Q80" s="373">
        <v>0</v>
      </c>
      <c r="R80" s="373" t="s">
        <v>1521</v>
      </c>
      <c r="S80" s="277">
        <v>0</v>
      </c>
      <c r="T80" s="321"/>
      <c r="U80" s="321"/>
      <c r="V80" s="321"/>
      <c r="W80" s="321"/>
      <c r="X80" s="321"/>
      <c r="Y80" s="321"/>
      <c r="Z80" s="321"/>
      <c r="AA80" s="321"/>
      <c r="AB80" s="321"/>
      <c r="AC80" s="321"/>
      <c r="AD80" s="322" t="s">
        <v>1303</v>
      </c>
      <c r="AE80" s="382"/>
      <c r="AF80" s="382"/>
      <c r="AG80" s="325">
        <v>0</v>
      </c>
      <c r="AH80" s="383"/>
      <c r="AI80" s="201"/>
      <c r="AJ80" s="201"/>
      <c r="AK80" s="201">
        <v>7</v>
      </c>
      <c r="AL80" s="201">
        <v>14</v>
      </c>
      <c r="AM80" s="327">
        <v>21</v>
      </c>
      <c r="AN80" s="336">
        <v>8</v>
      </c>
      <c r="AO80" s="329">
        <v>21</v>
      </c>
      <c r="AP80" s="329">
        <v>8</v>
      </c>
      <c r="AQ80" s="331" t="e">
        <v>#DIV/0!</v>
      </c>
      <c r="AR80" s="330">
        <v>2.63</v>
      </c>
      <c r="AS80" s="332">
        <v>2.63</v>
      </c>
      <c r="AT80" s="379" t="s">
        <v>1727</v>
      </c>
      <c r="AU80">
        <f t="shared" si="13"/>
        <v>21</v>
      </c>
    </row>
    <row r="81" spans="1:47" ht="60" x14ac:dyDescent="0.35">
      <c r="A81" s="362" t="s">
        <v>1478</v>
      </c>
      <c r="B81" s="337" t="s">
        <v>1312</v>
      </c>
      <c r="C81" s="362" t="s">
        <v>1357</v>
      </c>
      <c r="D81" s="362">
        <v>8</v>
      </c>
      <c r="E81" s="398">
        <v>81</v>
      </c>
      <c r="F81" s="362" t="s">
        <v>1728</v>
      </c>
      <c r="G81" s="411" t="s">
        <v>1729</v>
      </c>
      <c r="H81" s="380" t="s">
        <v>1730</v>
      </c>
      <c r="I81" s="381">
        <v>81250</v>
      </c>
      <c r="J81" s="362" t="s">
        <v>1728</v>
      </c>
      <c r="K81" s="368" t="s">
        <v>1731</v>
      </c>
      <c r="L81" s="369">
        <v>43310</v>
      </c>
      <c r="M81" s="369">
        <v>43329</v>
      </c>
      <c r="N81" s="370" t="s">
        <v>1484</v>
      </c>
      <c r="O81" s="371" t="s">
        <v>1732</v>
      </c>
      <c r="P81" s="372">
        <v>0</v>
      </c>
      <c r="Q81" s="373">
        <v>0</v>
      </c>
      <c r="R81" s="373" t="s">
        <v>1733</v>
      </c>
      <c r="S81" s="277">
        <v>0</v>
      </c>
      <c r="T81" s="321"/>
      <c r="U81" s="321"/>
      <c r="V81" s="321"/>
      <c r="W81" s="321"/>
      <c r="X81" s="321"/>
      <c r="Y81" s="321"/>
      <c r="Z81" s="321"/>
      <c r="AA81" s="321"/>
      <c r="AB81" s="321"/>
      <c r="AC81" s="321"/>
      <c r="AD81" s="322" t="s">
        <v>1303</v>
      </c>
      <c r="AE81" s="382"/>
      <c r="AF81" s="382"/>
      <c r="AG81" s="325">
        <v>0</v>
      </c>
      <c r="AH81" s="383"/>
      <c r="AI81" s="201"/>
      <c r="AJ81" s="201">
        <v>9</v>
      </c>
      <c r="AK81" s="201">
        <v>9</v>
      </c>
      <c r="AL81" s="201"/>
      <c r="AM81" s="327">
        <v>18</v>
      </c>
      <c r="AN81" s="336">
        <v>8</v>
      </c>
      <c r="AO81" s="329">
        <v>18</v>
      </c>
      <c r="AP81" s="329">
        <v>8</v>
      </c>
      <c r="AQ81" s="331" t="e">
        <v>#DIV/0!</v>
      </c>
      <c r="AR81" s="330">
        <v>2.25</v>
      </c>
      <c r="AS81" s="332">
        <v>2.25</v>
      </c>
      <c r="AT81" s="379" t="s">
        <v>1734</v>
      </c>
      <c r="AU81">
        <f t="shared" si="13"/>
        <v>18</v>
      </c>
    </row>
    <row r="82" spans="1:47" ht="43.5" x14ac:dyDescent="0.35">
      <c r="A82" s="389" t="s">
        <v>1735</v>
      </c>
      <c r="B82" s="307" t="s">
        <v>1295</v>
      </c>
      <c r="C82" s="308" t="s">
        <v>1736</v>
      </c>
      <c r="D82" s="334">
        <v>7</v>
      </c>
      <c r="E82" s="398">
        <v>63</v>
      </c>
      <c r="F82" s="310" t="s">
        <v>1383</v>
      </c>
      <c r="G82" s="412" t="s">
        <v>925</v>
      </c>
      <c r="H82" s="390" t="s">
        <v>1737</v>
      </c>
      <c r="I82" s="342">
        <v>63250</v>
      </c>
      <c r="J82" s="391" t="s">
        <v>1383</v>
      </c>
      <c r="K82" s="319">
        <v>682137384</v>
      </c>
      <c r="L82" s="315">
        <v>43290</v>
      </c>
      <c r="M82" s="316">
        <v>43302</v>
      </c>
      <c r="N82" s="317" t="s">
        <v>1738</v>
      </c>
      <c r="O82" s="318" t="s">
        <v>1739</v>
      </c>
      <c r="P82" s="319">
        <v>651471038</v>
      </c>
      <c r="Q82" s="392" t="s">
        <v>1740</v>
      </c>
      <c r="R82" s="308" t="s">
        <v>1741</v>
      </c>
      <c r="S82" s="276">
        <v>0</v>
      </c>
      <c r="T82" s="321"/>
      <c r="U82" s="321"/>
      <c r="V82" s="321"/>
      <c r="W82" s="321"/>
      <c r="X82" s="321"/>
      <c r="Y82" s="321"/>
      <c r="Z82" s="321"/>
      <c r="AA82" s="321"/>
      <c r="AB82" s="321"/>
      <c r="AC82" s="321"/>
      <c r="AD82" s="322"/>
      <c r="AE82" s="323"/>
      <c r="AF82" s="323"/>
      <c r="AG82" s="325">
        <v>18</v>
      </c>
      <c r="AH82" s="324">
        <v>9</v>
      </c>
      <c r="AI82" s="321"/>
      <c r="AJ82" s="321"/>
      <c r="AK82" s="321"/>
      <c r="AL82" s="321"/>
      <c r="AM82" s="327">
        <f t="shared" ref="AM82:AM120" si="14">SUM(AI82:AL82)</f>
        <v>0</v>
      </c>
      <c r="AN82" s="376"/>
      <c r="AO82" s="329">
        <f>T82+V82+X82+Z82+AB82+AG82+AM82</f>
        <v>18</v>
      </c>
      <c r="AP82" s="329">
        <f>+AH82+AN82+U82+W82+Y82+AA82+AD82</f>
        <v>9</v>
      </c>
      <c r="AQ82" s="349">
        <f t="shared" ref="AQ82:AQ120" si="15">+AG82/AH82</f>
        <v>2</v>
      </c>
      <c r="AR82" s="331" t="e">
        <f t="shared" ref="AR82:AR120" si="16">+AM82/AN82</f>
        <v>#DIV/0!</v>
      </c>
      <c r="AS82" s="332">
        <f t="shared" ref="AS82:AS120" si="17">+AO82/AP82</f>
        <v>2</v>
      </c>
      <c r="AT82" s="379" t="s">
        <v>1742</v>
      </c>
      <c r="AU82">
        <f t="shared" si="13"/>
        <v>36</v>
      </c>
    </row>
    <row r="83" spans="1:47" ht="43.5" x14ac:dyDescent="0.35">
      <c r="A83" s="389" t="s">
        <v>1735</v>
      </c>
      <c r="B83" s="307" t="s">
        <v>1295</v>
      </c>
      <c r="C83" s="308" t="s">
        <v>1630</v>
      </c>
      <c r="D83" s="334">
        <v>7</v>
      </c>
      <c r="E83" s="398">
        <v>17</v>
      </c>
      <c r="F83" s="310" t="s">
        <v>1743</v>
      </c>
      <c r="G83" s="413" t="s">
        <v>1744</v>
      </c>
      <c r="H83" s="393" t="s">
        <v>1745</v>
      </c>
      <c r="I83" s="342">
        <v>17340</v>
      </c>
      <c r="J83" s="391" t="s">
        <v>1743</v>
      </c>
      <c r="K83" s="319">
        <v>683491672</v>
      </c>
      <c r="L83" s="315">
        <v>43290</v>
      </c>
      <c r="M83" s="316">
        <v>43302</v>
      </c>
      <c r="N83" s="317" t="s">
        <v>1738</v>
      </c>
      <c r="O83" s="318" t="s">
        <v>1746</v>
      </c>
      <c r="P83" s="319">
        <v>635183713</v>
      </c>
      <c r="Q83" s="392" t="s">
        <v>1747</v>
      </c>
      <c r="R83" s="308" t="s">
        <v>1748</v>
      </c>
      <c r="S83" s="276">
        <v>0</v>
      </c>
      <c r="T83" s="321"/>
      <c r="U83" s="321"/>
      <c r="V83" s="321"/>
      <c r="W83" s="321"/>
      <c r="X83" s="321"/>
      <c r="Y83" s="321"/>
      <c r="Z83" s="321"/>
      <c r="AA83" s="321"/>
      <c r="AB83" s="321"/>
      <c r="AC83" s="321"/>
      <c r="AD83" s="322"/>
      <c r="AE83" s="323"/>
      <c r="AF83" s="323"/>
      <c r="AG83" s="325">
        <v>16</v>
      </c>
      <c r="AH83" s="324">
        <v>4</v>
      </c>
      <c r="AI83" s="321"/>
      <c r="AJ83" s="321"/>
      <c r="AK83" s="321"/>
      <c r="AL83" s="321"/>
      <c r="AM83" s="327">
        <f t="shared" si="14"/>
        <v>0</v>
      </c>
      <c r="AN83" s="376"/>
      <c r="AO83" s="329">
        <f>T83+V83+X83+Z83+AB83+AG83+AM83</f>
        <v>16</v>
      </c>
      <c r="AP83" s="329">
        <f>+AH83+AN83+U83+W83+Y83+AA83+AD83</f>
        <v>4</v>
      </c>
      <c r="AQ83" s="349">
        <f t="shared" si="15"/>
        <v>4</v>
      </c>
      <c r="AR83" s="331" t="e">
        <f t="shared" si="16"/>
        <v>#DIV/0!</v>
      </c>
      <c r="AS83" s="332">
        <f t="shared" si="17"/>
        <v>4</v>
      </c>
      <c r="AT83" s="379" t="s">
        <v>1749</v>
      </c>
      <c r="AU83">
        <f t="shared" si="13"/>
        <v>32</v>
      </c>
    </row>
    <row r="84" spans="1:47" ht="29" x14ac:dyDescent="0.35">
      <c r="A84" s="389" t="s">
        <v>1735</v>
      </c>
      <c r="B84" s="307" t="s">
        <v>1295</v>
      </c>
      <c r="C84" s="308" t="s">
        <v>1630</v>
      </c>
      <c r="D84" s="334">
        <v>7</v>
      </c>
      <c r="E84" s="398">
        <v>86</v>
      </c>
      <c r="F84" s="310" t="s">
        <v>1750</v>
      </c>
      <c r="G84" s="413" t="s">
        <v>1751</v>
      </c>
      <c r="H84" s="393" t="s">
        <v>1752</v>
      </c>
      <c r="I84" s="342">
        <v>86350</v>
      </c>
      <c r="J84" s="391" t="s">
        <v>1750</v>
      </c>
      <c r="K84" s="319">
        <v>682137434</v>
      </c>
      <c r="L84" s="315">
        <v>43290</v>
      </c>
      <c r="M84" s="316">
        <v>43302</v>
      </c>
      <c r="N84" s="317" t="s">
        <v>1738</v>
      </c>
      <c r="O84" s="318" t="s">
        <v>1753</v>
      </c>
      <c r="P84" s="319">
        <v>699770818</v>
      </c>
      <c r="Q84" s="392" t="s">
        <v>1754</v>
      </c>
      <c r="R84" s="308" t="s">
        <v>1755</v>
      </c>
      <c r="S84" s="276">
        <v>0</v>
      </c>
      <c r="T84" s="321"/>
      <c r="U84" s="321"/>
      <c r="V84" s="321"/>
      <c r="W84" s="321"/>
      <c r="X84" s="321"/>
      <c r="Y84" s="321"/>
      <c r="Z84" s="321"/>
      <c r="AA84" s="321"/>
      <c r="AB84" s="321"/>
      <c r="AC84" s="321"/>
      <c r="AD84" s="322"/>
      <c r="AE84" s="323"/>
      <c r="AF84" s="323"/>
      <c r="AG84" s="325">
        <v>16</v>
      </c>
      <c r="AH84" s="324">
        <v>6</v>
      </c>
      <c r="AI84" s="321"/>
      <c r="AJ84" s="321"/>
      <c r="AK84" s="321"/>
      <c r="AL84" s="321"/>
      <c r="AM84" s="327">
        <f t="shared" si="14"/>
        <v>0</v>
      </c>
      <c r="AN84" s="376"/>
      <c r="AO84" s="329">
        <f>T84+V84+X84+Z84+AB84+AG84+AM84</f>
        <v>16</v>
      </c>
      <c r="AP84" s="329">
        <f>+AH84+AN84+U84+W84+Y84+AA84+AD84</f>
        <v>6</v>
      </c>
      <c r="AQ84" s="349">
        <f t="shared" si="15"/>
        <v>2.6666666666666665</v>
      </c>
      <c r="AR84" s="331" t="e">
        <f t="shared" si="16"/>
        <v>#DIV/0!</v>
      </c>
      <c r="AS84" s="332">
        <f t="shared" si="17"/>
        <v>2.6666666666666665</v>
      </c>
      <c r="AT84" s="379" t="s">
        <v>1756</v>
      </c>
      <c r="AU84">
        <f t="shared" si="13"/>
        <v>32</v>
      </c>
    </row>
    <row r="85" spans="1:47" ht="36" x14ac:dyDescent="0.35">
      <c r="A85" s="389" t="s">
        <v>1735</v>
      </c>
      <c r="B85" s="307" t="s">
        <v>1295</v>
      </c>
      <c r="C85" s="308" t="s">
        <v>1364</v>
      </c>
      <c r="D85" s="334">
        <v>7</v>
      </c>
      <c r="E85" s="398">
        <v>44</v>
      </c>
      <c r="F85" s="310" t="s">
        <v>1757</v>
      </c>
      <c r="G85" s="413" t="s">
        <v>1758</v>
      </c>
      <c r="H85" s="393" t="s">
        <v>1759</v>
      </c>
      <c r="I85" s="342">
        <v>44210</v>
      </c>
      <c r="J85" s="391" t="s">
        <v>1757</v>
      </c>
      <c r="K85" s="319">
        <v>682138344</v>
      </c>
      <c r="L85" s="315">
        <v>43290</v>
      </c>
      <c r="M85" s="316">
        <v>43302</v>
      </c>
      <c r="N85" s="317" t="s">
        <v>1738</v>
      </c>
      <c r="O85" s="318" t="s">
        <v>1760</v>
      </c>
      <c r="P85" s="319">
        <v>626012626</v>
      </c>
      <c r="Q85" s="392" t="s">
        <v>1761</v>
      </c>
      <c r="R85" s="308" t="s">
        <v>1762</v>
      </c>
      <c r="S85" s="276">
        <v>0</v>
      </c>
      <c r="T85" s="321"/>
      <c r="U85" s="321"/>
      <c r="V85" s="321"/>
      <c r="W85" s="321"/>
      <c r="X85" s="321"/>
      <c r="Y85" s="321"/>
      <c r="Z85" s="321"/>
      <c r="AA85" s="321"/>
      <c r="AB85" s="321"/>
      <c r="AC85" s="321"/>
      <c r="AD85" s="322"/>
      <c r="AE85" s="323"/>
      <c r="AF85" s="323"/>
      <c r="AG85" s="325">
        <v>21</v>
      </c>
      <c r="AH85" s="324">
        <v>5</v>
      </c>
      <c r="AI85" s="321"/>
      <c r="AJ85" s="321"/>
      <c r="AK85" s="321"/>
      <c r="AL85" s="321"/>
      <c r="AM85" s="327">
        <f t="shared" si="14"/>
        <v>0</v>
      </c>
      <c r="AN85" s="376"/>
      <c r="AO85" s="329">
        <f>T85+V85+X85+Z85+AB85+AG85+AM85</f>
        <v>21</v>
      </c>
      <c r="AP85" s="329">
        <f>+AH85+AN85+U85+W85+Y85+AA85+AD85</f>
        <v>5</v>
      </c>
      <c r="AQ85" s="349">
        <f t="shared" si="15"/>
        <v>4.2</v>
      </c>
      <c r="AR85" s="331" t="e">
        <f t="shared" si="16"/>
        <v>#DIV/0!</v>
      </c>
      <c r="AS85" s="332">
        <f t="shared" si="17"/>
        <v>4.2</v>
      </c>
      <c r="AT85" s="379" t="s">
        <v>1763</v>
      </c>
      <c r="AU85">
        <f t="shared" si="13"/>
        <v>42</v>
      </c>
    </row>
    <row r="86" spans="1:47" ht="36" x14ac:dyDescent="0.35">
      <c r="A86" s="389" t="s">
        <v>1735</v>
      </c>
      <c r="B86" s="307" t="s">
        <v>1295</v>
      </c>
      <c r="C86" s="308" t="s">
        <v>1364</v>
      </c>
      <c r="D86" s="334">
        <v>7</v>
      </c>
      <c r="E86" s="398">
        <v>85</v>
      </c>
      <c r="F86" s="310" t="s">
        <v>1764</v>
      </c>
      <c r="G86" s="413" t="s">
        <v>1765</v>
      </c>
      <c r="H86" s="393" t="s">
        <v>1766</v>
      </c>
      <c r="I86" s="342">
        <v>85150</v>
      </c>
      <c r="J86" s="391" t="s">
        <v>1764</v>
      </c>
      <c r="K86" s="319">
        <v>682137827</v>
      </c>
      <c r="L86" s="315">
        <v>43290</v>
      </c>
      <c r="M86" s="316">
        <v>43302</v>
      </c>
      <c r="N86" s="317" t="s">
        <v>1738</v>
      </c>
      <c r="O86" s="318" t="s">
        <v>1767</v>
      </c>
      <c r="P86" s="319">
        <v>687021993</v>
      </c>
      <c r="Q86" s="392" t="s">
        <v>1768</v>
      </c>
      <c r="R86" s="308" t="s">
        <v>1769</v>
      </c>
      <c r="S86" s="276">
        <v>0</v>
      </c>
      <c r="T86" s="321"/>
      <c r="U86" s="321"/>
      <c r="V86" s="321"/>
      <c r="W86" s="321"/>
      <c r="X86" s="321"/>
      <c r="Y86" s="321"/>
      <c r="Z86" s="321"/>
      <c r="AA86" s="321"/>
      <c r="AB86" s="321"/>
      <c r="AC86" s="321"/>
      <c r="AD86" s="322"/>
      <c r="AE86" s="323"/>
      <c r="AF86" s="323"/>
      <c r="AG86" s="325">
        <v>16</v>
      </c>
      <c r="AH86" s="324">
        <v>6</v>
      </c>
      <c r="AI86" s="321"/>
      <c r="AJ86" s="321"/>
      <c r="AK86" s="321"/>
      <c r="AL86" s="321"/>
      <c r="AM86" s="327">
        <f t="shared" si="14"/>
        <v>0</v>
      </c>
      <c r="AN86" s="376"/>
      <c r="AO86" s="329">
        <f>T86+V86+X86+Z86+AB86+AG86+AM86</f>
        <v>16</v>
      </c>
      <c r="AP86" s="329">
        <f>+AH86+AN86+U86+W86+Y86+AA86+AD86</f>
        <v>6</v>
      </c>
      <c r="AQ86" s="349">
        <f t="shared" si="15"/>
        <v>2.6666666666666665</v>
      </c>
      <c r="AR86" s="331" t="e">
        <f t="shared" si="16"/>
        <v>#DIV/0!</v>
      </c>
      <c r="AS86" s="332">
        <f t="shared" si="17"/>
        <v>2.6666666666666665</v>
      </c>
      <c r="AT86" s="379" t="s">
        <v>1770</v>
      </c>
      <c r="AU86">
        <f t="shared" si="13"/>
        <v>32</v>
      </c>
    </row>
    <row r="87" spans="1:47" ht="48" x14ac:dyDescent="0.35">
      <c r="A87" s="389" t="s">
        <v>1735</v>
      </c>
      <c r="B87" s="337" t="s">
        <v>1312</v>
      </c>
      <c r="C87" s="308" t="s">
        <v>1630</v>
      </c>
      <c r="D87" s="334">
        <v>7</v>
      </c>
      <c r="E87" s="398">
        <v>17</v>
      </c>
      <c r="F87" s="310" t="s">
        <v>1771</v>
      </c>
      <c r="G87" s="413" t="s">
        <v>1772</v>
      </c>
      <c r="H87" s="393" t="s">
        <v>1773</v>
      </c>
      <c r="I87" s="342">
        <v>17132</v>
      </c>
      <c r="J87" s="391" t="s">
        <v>1771</v>
      </c>
      <c r="K87" s="319">
        <v>682137812</v>
      </c>
      <c r="L87" s="315">
        <v>43290</v>
      </c>
      <c r="M87" s="316">
        <v>43302</v>
      </c>
      <c r="N87" s="317" t="s">
        <v>1738</v>
      </c>
      <c r="O87" s="318" t="s">
        <v>1774</v>
      </c>
      <c r="P87" s="319">
        <v>621627764</v>
      </c>
      <c r="Q87" s="392" t="s">
        <v>1775</v>
      </c>
      <c r="R87" s="308" t="s">
        <v>1776</v>
      </c>
      <c r="S87" s="276">
        <v>0</v>
      </c>
      <c r="T87" s="321"/>
      <c r="U87" s="321"/>
      <c r="V87" s="321"/>
      <c r="W87" s="321"/>
      <c r="X87" s="321"/>
      <c r="Y87" s="321"/>
      <c r="Z87" s="321"/>
      <c r="AA87" s="321"/>
      <c r="AB87" s="321"/>
      <c r="AC87" s="321"/>
      <c r="AD87" s="322"/>
      <c r="AE87" s="201"/>
      <c r="AF87" s="201"/>
      <c r="AG87" s="325">
        <f>SUM(AE87:AF87)</f>
        <v>0</v>
      </c>
      <c r="AH87" s="323">
        <v>4</v>
      </c>
      <c r="AI87" s="201"/>
      <c r="AJ87" s="201"/>
      <c r="AK87" s="201">
        <v>8</v>
      </c>
      <c r="AL87" s="201">
        <v>8</v>
      </c>
      <c r="AM87" s="327">
        <f t="shared" si="14"/>
        <v>16</v>
      </c>
      <c r="AN87" s="336">
        <v>5</v>
      </c>
      <c r="AO87" s="329">
        <f>AF87+AM87</f>
        <v>16</v>
      </c>
      <c r="AP87" s="329">
        <f>+AH87+AN87</f>
        <v>9</v>
      </c>
      <c r="AQ87" s="331">
        <f t="shared" si="15"/>
        <v>0</v>
      </c>
      <c r="AR87" s="330">
        <f t="shared" si="16"/>
        <v>3.2</v>
      </c>
      <c r="AS87" s="332">
        <f t="shared" si="17"/>
        <v>1.7777777777777777</v>
      </c>
      <c r="AT87" s="379"/>
      <c r="AU87">
        <f t="shared" si="13"/>
        <v>16</v>
      </c>
    </row>
    <row r="88" spans="1:47" ht="36" x14ac:dyDescent="0.35">
      <c r="A88" s="389" t="s">
        <v>1735</v>
      </c>
      <c r="B88" s="307" t="s">
        <v>1295</v>
      </c>
      <c r="C88" s="308" t="s">
        <v>1777</v>
      </c>
      <c r="D88" s="338">
        <v>8</v>
      </c>
      <c r="E88" s="423" t="s">
        <v>1592</v>
      </c>
      <c r="F88" s="394" t="s">
        <v>1778</v>
      </c>
      <c r="G88" s="414" t="s">
        <v>133</v>
      </c>
      <c r="H88" s="395" t="s">
        <v>133</v>
      </c>
      <c r="I88" s="342">
        <v>0</v>
      </c>
      <c r="J88" s="396" t="s">
        <v>1778</v>
      </c>
      <c r="K88" s="319">
        <v>772088258</v>
      </c>
      <c r="L88" s="339">
        <v>43310</v>
      </c>
      <c r="M88" s="340">
        <v>43329</v>
      </c>
      <c r="N88" s="317" t="s">
        <v>1738</v>
      </c>
      <c r="O88" s="318" t="s">
        <v>1779</v>
      </c>
      <c r="P88" s="319">
        <v>631865921</v>
      </c>
      <c r="Q88" s="392" t="s">
        <v>1780</v>
      </c>
      <c r="R88" s="308" t="s">
        <v>1781</v>
      </c>
      <c r="S88" s="276">
        <v>0</v>
      </c>
      <c r="T88" s="321"/>
      <c r="U88" s="321"/>
      <c r="V88" s="321"/>
      <c r="W88" s="321"/>
      <c r="X88" s="321"/>
      <c r="Y88" s="321"/>
      <c r="Z88" s="321"/>
      <c r="AA88" s="321"/>
      <c r="AB88" s="321"/>
      <c r="AC88" s="321"/>
      <c r="AD88" s="322"/>
      <c r="AE88" s="323"/>
      <c r="AF88" s="323"/>
      <c r="AG88" s="325">
        <v>12</v>
      </c>
      <c r="AH88" s="324">
        <v>2</v>
      </c>
      <c r="AI88" s="321"/>
      <c r="AJ88" s="321"/>
      <c r="AK88" s="321"/>
      <c r="AL88" s="321"/>
      <c r="AM88" s="327">
        <f t="shared" si="14"/>
        <v>0</v>
      </c>
      <c r="AN88" s="376"/>
      <c r="AO88" s="329">
        <f t="shared" ref="AO88:AO114" si="18">T88+V88+X88+Z88+AB88+AG88+AM88</f>
        <v>12</v>
      </c>
      <c r="AP88" s="329">
        <f t="shared" ref="AP88:AP114" si="19">+AH88+AN88+U88+W88+Y88+AA88+AD88</f>
        <v>2</v>
      </c>
      <c r="AQ88" s="349">
        <f t="shared" si="15"/>
        <v>6</v>
      </c>
      <c r="AR88" s="331" t="e">
        <f t="shared" si="16"/>
        <v>#DIV/0!</v>
      </c>
      <c r="AS88" s="332">
        <f t="shared" si="17"/>
        <v>6</v>
      </c>
      <c r="AT88" s="379" t="s">
        <v>1782</v>
      </c>
      <c r="AU88">
        <f t="shared" si="13"/>
        <v>24</v>
      </c>
    </row>
    <row r="89" spans="1:47" ht="29" x14ac:dyDescent="0.35">
      <c r="A89" s="389" t="s">
        <v>1735</v>
      </c>
      <c r="B89" s="307" t="s">
        <v>1295</v>
      </c>
      <c r="C89" s="308" t="s">
        <v>1736</v>
      </c>
      <c r="D89" s="338">
        <v>8</v>
      </c>
      <c r="E89" s="398">
        <v>38</v>
      </c>
      <c r="F89" s="310" t="s">
        <v>1783</v>
      </c>
      <c r="G89" s="413" t="s">
        <v>1784</v>
      </c>
      <c r="H89" s="397" t="s">
        <v>1785</v>
      </c>
      <c r="I89" s="342">
        <v>38690</v>
      </c>
      <c r="J89" s="391" t="s">
        <v>1783</v>
      </c>
      <c r="K89" s="319">
        <v>631712549</v>
      </c>
      <c r="L89" s="339">
        <v>43310</v>
      </c>
      <c r="M89" s="340">
        <v>43329</v>
      </c>
      <c r="N89" s="317" t="s">
        <v>1738</v>
      </c>
      <c r="O89" s="318" t="s">
        <v>1753</v>
      </c>
      <c r="P89" s="319">
        <v>699770818</v>
      </c>
      <c r="Q89" s="392" t="s">
        <v>1754</v>
      </c>
      <c r="R89" s="308" t="s">
        <v>1786</v>
      </c>
      <c r="S89" s="276">
        <v>0</v>
      </c>
      <c r="T89" s="321"/>
      <c r="U89" s="321"/>
      <c r="V89" s="321"/>
      <c r="W89" s="321"/>
      <c r="X89" s="321"/>
      <c r="Y89" s="321"/>
      <c r="Z89" s="321"/>
      <c r="AA89" s="321"/>
      <c r="AB89" s="321"/>
      <c r="AC89" s="321"/>
      <c r="AD89" s="322"/>
      <c r="AE89" s="323"/>
      <c r="AF89" s="323"/>
      <c r="AG89" s="325">
        <v>16</v>
      </c>
      <c r="AH89" s="324">
        <v>5</v>
      </c>
      <c r="AI89" s="321"/>
      <c r="AJ89" s="321"/>
      <c r="AK89" s="321"/>
      <c r="AL89" s="321"/>
      <c r="AM89" s="327">
        <f t="shared" si="14"/>
        <v>0</v>
      </c>
      <c r="AN89" s="376"/>
      <c r="AO89" s="329">
        <f t="shared" si="18"/>
        <v>16</v>
      </c>
      <c r="AP89" s="329">
        <f t="shared" si="19"/>
        <v>5</v>
      </c>
      <c r="AQ89" s="349">
        <f t="shared" si="15"/>
        <v>3.2</v>
      </c>
      <c r="AR89" s="331" t="e">
        <f t="shared" si="16"/>
        <v>#DIV/0!</v>
      </c>
      <c r="AS89" s="332">
        <f t="shared" si="17"/>
        <v>3.2</v>
      </c>
      <c r="AT89" s="379" t="s">
        <v>1787</v>
      </c>
      <c r="AU89">
        <f t="shared" si="13"/>
        <v>32</v>
      </c>
    </row>
    <row r="90" spans="1:47" ht="48" x14ac:dyDescent="0.35">
      <c r="A90" s="389" t="s">
        <v>1735</v>
      </c>
      <c r="B90" s="307" t="s">
        <v>1295</v>
      </c>
      <c r="C90" s="308" t="s">
        <v>1736</v>
      </c>
      <c r="D90" s="338">
        <v>8</v>
      </c>
      <c r="E90" s="398">
        <v>63</v>
      </c>
      <c r="F90" s="310" t="s">
        <v>1788</v>
      </c>
      <c r="G90" s="413" t="s">
        <v>1789</v>
      </c>
      <c r="H90" s="397" t="s">
        <v>1790</v>
      </c>
      <c r="I90" s="342">
        <v>63210</v>
      </c>
      <c r="J90" s="391" t="s">
        <v>1788</v>
      </c>
      <c r="K90" s="319">
        <v>682137434</v>
      </c>
      <c r="L90" s="339">
        <v>43310</v>
      </c>
      <c r="M90" s="340">
        <v>43329</v>
      </c>
      <c r="N90" s="317" t="s">
        <v>1738</v>
      </c>
      <c r="O90" s="318" t="s">
        <v>1791</v>
      </c>
      <c r="P90" s="319">
        <v>608130549</v>
      </c>
      <c r="Q90" s="392" t="s">
        <v>1792</v>
      </c>
      <c r="R90" s="308" t="s">
        <v>1793</v>
      </c>
      <c r="S90" s="276">
        <v>0</v>
      </c>
      <c r="T90" s="321"/>
      <c r="U90" s="321"/>
      <c r="V90" s="321"/>
      <c r="W90" s="321"/>
      <c r="X90" s="321"/>
      <c r="Y90" s="321"/>
      <c r="Z90" s="321"/>
      <c r="AA90" s="321"/>
      <c r="AB90" s="321"/>
      <c r="AC90" s="321"/>
      <c r="AD90" s="322"/>
      <c r="AE90" s="323"/>
      <c r="AF90" s="323"/>
      <c r="AG90" s="325">
        <v>18</v>
      </c>
      <c r="AH90" s="324">
        <v>7</v>
      </c>
      <c r="AI90" s="321"/>
      <c r="AJ90" s="321"/>
      <c r="AK90" s="321"/>
      <c r="AL90" s="321"/>
      <c r="AM90" s="327">
        <f t="shared" si="14"/>
        <v>0</v>
      </c>
      <c r="AN90" s="376"/>
      <c r="AO90" s="329">
        <f t="shared" si="18"/>
        <v>18</v>
      </c>
      <c r="AP90" s="329">
        <f t="shared" si="19"/>
        <v>7</v>
      </c>
      <c r="AQ90" s="349">
        <f t="shared" si="15"/>
        <v>2.5714285714285716</v>
      </c>
      <c r="AR90" s="331" t="e">
        <f t="shared" si="16"/>
        <v>#DIV/0!</v>
      </c>
      <c r="AS90" s="332">
        <f t="shared" si="17"/>
        <v>2.5714285714285716</v>
      </c>
      <c r="AT90" s="379" t="s">
        <v>1794</v>
      </c>
      <c r="AU90">
        <f t="shared" si="13"/>
        <v>36</v>
      </c>
    </row>
    <row r="91" spans="1:47" ht="48" x14ac:dyDescent="0.35">
      <c r="A91" s="389" t="s">
        <v>1735</v>
      </c>
      <c r="B91" s="307" t="s">
        <v>1295</v>
      </c>
      <c r="C91" s="308" t="s">
        <v>1736</v>
      </c>
      <c r="D91" s="338">
        <v>8</v>
      </c>
      <c r="E91" s="398">
        <v>63</v>
      </c>
      <c r="F91" s="310" t="s">
        <v>1788</v>
      </c>
      <c r="G91" s="413" t="s">
        <v>1547</v>
      </c>
      <c r="H91" s="397" t="s">
        <v>1790</v>
      </c>
      <c r="I91" s="342">
        <v>63210</v>
      </c>
      <c r="J91" s="391" t="s">
        <v>1788</v>
      </c>
      <c r="K91" s="319">
        <v>643716566</v>
      </c>
      <c r="L91" s="339">
        <v>43310</v>
      </c>
      <c r="M91" s="340">
        <v>43329</v>
      </c>
      <c r="N91" s="317" t="s">
        <v>1738</v>
      </c>
      <c r="O91" s="318" t="s">
        <v>1791</v>
      </c>
      <c r="P91" s="319">
        <v>608130549</v>
      </c>
      <c r="Q91" s="392" t="s">
        <v>1792</v>
      </c>
      <c r="R91" s="308" t="s">
        <v>1793</v>
      </c>
      <c r="S91" s="276">
        <v>0</v>
      </c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2"/>
      <c r="AE91" s="323"/>
      <c r="AF91" s="323"/>
      <c r="AG91" s="325">
        <v>21</v>
      </c>
      <c r="AH91" s="324">
        <v>6</v>
      </c>
      <c r="AI91" s="321"/>
      <c r="AJ91" s="321"/>
      <c r="AK91" s="321"/>
      <c r="AL91" s="321"/>
      <c r="AM91" s="327">
        <f t="shared" si="14"/>
        <v>0</v>
      </c>
      <c r="AN91" s="376"/>
      <c r="AO91" s="329">
        <f t="shared" si="18"/>
        <v>21</v>
      </c>
      <c r="AP91" s="329">
        <f t="shared" si="19"/>
        <v>6</v>
      </c>
      <c r="AQ91" s="349">
        <f t="shared" si="15"/>
        <v>3.5</v>
      </c>
      <c r="AR91" s="331" t="e">
        <f t="shared" si="16"/>
        <v>#DIV/0!</v>
      </c>
      <c r="AS91" s="332">
        <f t="shared" si="17"/>
        <v>3.5</v>
      </c>
      <c r="AT91" s="379" t="s">
        <v>1795</v>
      </c>
      <c r="AU91">
        <f t="shared" si="13"/>
        <v>42</v>
      </c>
    </row>
    <row r="92" spans="1:47" ht="29" x14ac:dyDescent="0.35">
      <c r="A92" s="389" t="s">
        <v>1735</v>
      </c>
      <c r="B92" s="307" t="s">
        <v>1295</v>
      </c>
      <c r="C92" s="308" t="s">
        <v>1736</v>
      </c>
      <c r="D92" s="338">
        <v>8</v>
      </c>
      <c r="E92" s="398" t="s">
        <v>51</v>
      </c>
      <c r="F92" s="310" t="s">
        <v>1796</v>
      </c>
      <c r="G92" s="413" t="s">
        <v>1797</v>
      </c>
      <c r="H92" s="397" t="s">
        <v>1798</v>
      </c>
      <c r="I92" s="342">
        <v>7530</v>
      </c>
      <c r="J92" s="391" t="s">
        <v>1796</v>
      </c>
      <c r="K92" s="319">
        <v>631712597</v>
      </c>
      <c r="L92" s="339">
        <v>43310</v>
      </c>
      <c r="M92" s="340">
        <v>43329</v>
      </c>
      <c r="N92" s="317" t="s">
        <v>1738</v>
      </c>
      <c r="O92" s="318" t="s">
        <v>1799</v>
      </c>
      <c r="P92" s="319">
        <v>635366788</v>
      </c>
      <c r="Q92" s="392" t="s">
        <v>1800</v>
      </c>
      <c r="R92" s="308" t="s">
        <v>1801</v>
      </c>
      <c r="S92" s="276">
        <v>0</v>
      </c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2"/>
      <c r="AE92" s="323"/>
      <c r="AF92" s="323"/>
      <c r="AG92" s="325">
        <v>16</v>
      </c>
      <c r="AH92" s="324">
        <v>4</v>
      </c>
      <c r="AI92" s="321"/>
      <c r="AJ92" s="321"/>
      <c r="AK92" s="321"/>
      <c r="AL92" s="321"/>
      <c r="AM92" s="327">
        <f t="shared" si="14"/>
        <v>0</v>
      </c>
      <c r="AN92" s="376"/>
      <c r="AO92" s="329">
        <f t="shared" si="18"/>
        <v>16</v>
      </c>
      <c r="AP92" s="329">
        <f t="shared" si="19"/>
        <v>4</v>
      </c>
      <c r="AQ92" s="349">
        <f t="shared" si="15"/>
        <v>4</v>
      </c>
      <c r="AR92" s="331" t="e">
        <f t="shared" si="16"/>
        <v>#DIV/0!</v>
      </c>
      <c r="AS92" s="332">
        <f t="shared" si="17"/>
        <v>4</v>
      </c>
      <c r="AT92" s="379" t="s">
        <v>1802</v>
      </c>
      <c r="AU92">
        <f t="shared" si="13"/>
        <v>32</v>
      </c>
    </row>
    <row r="93" spans="1:47" ht="43.5" x14ac:dyDescent="0.35">
      <c r="A93" s="389" t="s">
        <v>1735</v>
      </c>
      <c r="B93" s="307" t="s">
        <v>1295</v>
      </c>
      <c r="C93" s="308" t="s">
        <v>1296</v>
      </c>
      <c r="D93" s="338">
        <v>8</v>
      </c>
      <c r="E93" s="398">
        <v>29</v>
      </c>
      <c r="F93" s="310" t="s">
        <v>1803</v>
      </c>
      <c r="G93" s="413" t="s">
        <v>1804</v>
      </c>
      <c r="H93" s="397" t="s">
        <v>1805</v>
      </c>
      <c r="I93" s="342">
        <v>29890</v>
      </c>
      <c r="J93" s="391" t="s">
        <v>1803</v>
      </c>
      <c r="K93" s="319">
        <v>682137384</v>
      </c>
      <c r="L93" s="339">
        <v>43310</v>
      </c>
      <c r="M93" s="340">
        <v>43329</v>
      </c>
      <c r="N93" s="317" t="s">
        <v>1738</v>
      </c>
      <c r="O93" s="318" t="s">
        <v>1806</v>
      </c>
      <c r="P93" s="319">
        <v>679240901</v>
      </c>
      <c r="Q93" s="392" t="s">
        <v>1807</v>
      </c>
      <c r="R93" s="308" t="s">
        <v>1801</v>
      </c>
      <c r="S93" s="276">
        <v>0</v>
      </c>
      <c r="T93" s="321"/>
      <c r="U93" s="321"/>
      <c r="V93" s="321"/>
      <c r="W93" s="321"/>
      <c r="X93" s="321"/>
      <c r="Y93" s="321"/>
      <c r="Z93" s="321"/>
      <c r="AA93" s="321"/>
      <c r="AB93" s="321"/>
      <c r="AC93" s="321"/>
      <c r="AD93" s="322"/>
      <c r="AE93" s="323"/>
      <c r="AF93" s="323"/>
      <c r="AG93" s="325">
        <v>37</v>
      </c>
      <c r="AH93" s="324">
        <v>8</v>
      </c>
      <c r="AI93" s="321"/>
      <c r="AJ93" s="321"/>
      <c r="AK93" s="321"/>
      <c r="AL93" s="321"/>
      <c r="AM93" s="327">
        <f t="shared" si="14"/>
        <v>0</v>
      </c>
      <c r="AN93" s="376"/>
      <c r="AO93" s="329">
        <f t="shared" si="18"/>
        <v>37</v>
      </c>
      <c r="AP93" s="329">
        <f t="shared" si="19"/>
        <v>8</v>
      </c>
      <c r="AQ93" s="349">
        <f t="shared" si="15"/>
        <v>4.625</v>
      </c>
      <c r="AR93" s="331" t="e">
        <f t="shared" si="16"/>
        <v>#DIV/0!</v>
      </c>
      <c r="AS93" s="332">
        <f t="shared" si="17"/>
        <v>4.625</v>
      </c>
      <c r="AT93" s="379" t="s">
        <v>1808</v>
      </c>
      <c r="AU93">
        <f t="shared" si="13"/>
        <v>74</v>
      </c>
    </row>
    <row r="94" spans="1:47" x14ac:dyDescent="0.35">
      <c r="A94" s="389" t="s">
        <v>1735</v>
      </c>
      <c r="B94" s="307" t="s">
        <v>1295</v>
      </c>
      <c r="C94" s="308" t="s">
        <v>1296</v>
      </c>
      <c r="D94" s="338">
        <v>8</v>
      </c>
      <c r="E94" s="398">
        <v>56</v>
      </c>
      <c r="F94" s="310" t="s">
        <v>1809</v>
      </c>
      <c r="G94" s="413" t="s">
        <v>1810</v>
      </c>
      <c r="H94" s="397" t="s">
        <v>1811</v>
      </c>
      <c r="I94" s="342">
        <v>56520</v>
      </c>
      <c r="J94" s="391" t="s">
        <v>1809</v>
      </c>
      <c r="K94" s="319">
        <v>682137812</v>
      </c>
      <c r="L94" s="339">
        <v>43310</v>
      </c>
      <c r="M94" s="340">
        <v>43329</v>
      </c>
      <c r="N94" s="317" t="s">
        <v>1738</v>
      </c>
      <c r="O94" s="318">
        <v>0</v>
      </c>
      <c r="P94" s="319">
        <v>0</v>
      </c>
      <c r="Q94" s="320">
        <v>0</v>
      </c>
      <c r="R94" s="308">
        <v>0</v>
      </c>
      <c r="S94" s="276">
        <v>0</v>
      </c>
      <c r="T94" s="321"/>
      <c r="U94" s="321"/>
      <c r="V94" s="321"/>
      <c r="W94" s="321"/>
      <c r="X94" s="321"/>
      <c r="Y94" s="321"/>
      <c r="Z94" s="321"/>
      <c r="AA94" s="321"/>
      <c r="AB94" s="321"/>
      <c r="AC94" s="321"/>
      <c r="AD94" s="322"/>
      <c r="AE94" s="323"/>
      <c r="AF94" s="323"/>
      <c r="AG94" s="325">
        <v>21</v>
      </c>
      <c r="AH94" s="324">
        <v>4</v>
      </c>
      <c r="AI94" s="321"/>
      <c r="AJ94" s="321"/>
      <c r="AK94" s="321"/>
      <c r="AL94" s="321"/>
      <c r="AM94" s="327">
        <f t="shared" si="14"/>
        <v>0</v>
      </c>
      <c r="AN94" s="376"/>
      <c r="AO94" s="329">
        <f t="shared" si="18"/>
        <v>21</v>
      </c>
      <c r="AP94" s="329">
        <f t="shared" si="19"/>
        <v>4</v>
      </c>
      <c r="AQ94" s="349">
        <f t="shared" si="15"/>
        <v>5.25</v>
      </c>
      <c r="AR94" s="331" t="e">
        <f t="shared" si="16"/>
        <v>#DIV/0!</v>
      </c>
      <c r="AS94" s="332">
        <f t="shared" si="17"/>
        <v>5.25</v>
      </c>
      <c r="AT94" s="379" t="s">
        <v>1812</v>
      </c>
      <c r="AU94">
        <f t="shared" si="13"/>
        <v>42</v>
      </c>
    </row>
    <row r="95" spans="1:47" ht="48" x14ac:dyDescent="0.35">
      <c r="A95" s="389" t="s">
        <v>1735</v>
      </c>
      <c r="B95" s="307" t="s">
        <v>1295</v>
      </c>
      <c r="C95" s="308" t="s">
        <v>1296</v>
      </c>
      <c r="D95" s="338">
        <v>8</v>
      </c>
      <c r="E95" s="398">
        <v>56</v>
      </c>
      <c r="F95" s="310" t="s">
        <v>1813</v>
      </c>
      <c r="G95" s="413" t="s">
        <v>1814</v>
      </c>
      <c r="H95" s="397" t="s">
        <v>1815</v>
      </c>
      <c r="I95" s="342">
        <v>56470</v>
      </c>
      <c r="J95" s="391" t="s">
        <v>1813</v>
      </c>
      <c r="K95" s="319">
        <v>631712533</v>
      </c>
      <c r="L95" s="339">
        <v>43310</v>
      </c>
      <c r="M95" s="340">
        <v>43329</v>
      </c>
      <c r="N95" s="317" t="s">
        <v>1738</v>
      </c>
      <c r="O95" s="318" t="s">
        <v>1816</v>
      </c>
      <c r="P95" s="319">
        <v>635183713</v>
      </c>
      <c r="Q95" s="392" t="s">
        <v>1747</v>
      </c>
      <c r="R95" s="308" t="s">
        <v>1817</v>
      </c>
      <c r="S95" s="276">
        <v>0</v>
      </c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2"/>
      <c r="AE95" s="323"/>
      <c r="AF95" s="323"/>
      <c r="AG95" s="325">
        <v>21</v>
      </c>
      <c r="AH95" s="324">
        <v>4</v>
      </c>
      <c r="AI95" s="321"/>
      <c r="AJ95" s="321"/>
      <c r="AK95" s="321"/>
      <c r="AL95" s="321"/>
      <c r="AM95" s="327">
        <f t="shared" si="14"/>
        <v>0</v>
      </c>
      <c r="AN95" s="376"/>
      <c r="AO95" s="329">
        <f t="shared" si="18"/>
        <v>21</v>
      </c>
      <c r="AP95" s="329">
        <f t="shared" si="19"/>
        <v>4</v>
      </c>
      <c r="AQ95" s="349">
        <f t="shared" si="15"/>
        <v>5.25</v>
      </c>
      <c r="AR95" s="331" t="e">
        <f t="shared" si="16"/>
        <v>#DIV/0!</v>
      </c>
      <c r="AS95" s="332">
        <f t="shared" si="17"/>
        <v>5.25</v>
      </c>
      <c r="AT95" s="379" t="s">
        <v>1818</v>
      </c>
      <c r="AU95">
        <f t="shared" si="13"/>
        <v>42</v>
      </c>
    </row>
    <row r="96" spans="1:47" ht="29" x14ac:dyDescent="0.35">
      <c r="A96" s="389" t="s">
        <v>1735</v>
      </c>
      <c r="B96" s="307" t="s">
        <v>1295</v>
      </c>
      <c r="C96" s="308" t="s">
        <v>1296</v>
      </c>
      <c r="D96" s="338">
        <v>8</v>
      </c>
      <c r="E96" s="398">
        <v>56</v>
      </c>
      <c r="F96" s="310" t="s">
        <v>1819</v>
      </c>
      <c r="G96" s="413" t="s">
        <v>1820</v>
      </c>
      <c r="H96" s="397" t="s">
        <v>1821</v>
      </c>
      <c r="I96" s="342">
        <v>56320</v>
      </c>
      <c r="J96" s="391" t="s">
        <v>1819</v>
      </c>
      <c r="K96" s="319">
        <v>682137827</v>
      </c>
      <c r="L96" s="339">
        <v>43310</v>
      </c>
      <c r="M96" s="340">
        <v>43329</v>
      </c>
      <c r="N96" s="317" t="s">
        <v>1738</v>
      </c>
      <c r="O96" s="318" t="s">
        <v>1822</v>
      </c>
      <c r="P96" s="319">
        <v>760284797</v>
      </c>
      <c r="Q96" s="392" t="s">
        <v>1823</v>
      </c>
      <c r="R96" s="308" t="s">
        <v>1824</v>
      </c>
      <c r="S96" s="276">
        <v>0</v>
      </c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2"/>
      <c r="AE96" s="323"/>
      <c r="AF96" s="323"/>
      <c r="AG96" s="325">
        <v>18</v>
      </c>
      <c r="AH96" s="324">
        <v>7</v>
      </c>
      <c r="AI96" s="321"/>
      <c r="AJ96" s="321"/>
      <c r="AK96" s="321"/>
      <c r="AL96" s="321"/>
      <c r="AM96" s="327">
        <f t="shared" si="14"/>
        <v>0</v>
      </c>
      <c r="AN96" s="376"/>
      <c r="AO96" s="329">
        <f t="shared" si="18"/>
        <v>18</v>
      </c>
      <c r="AP96" s="329">
        <f t="shared" si="19"/>
        <v>7</v>
      </c>
      <c r="AQ96" s="349">
        <f t="shared" si="15"/>
        <v>2.5714285714285716</v>
      </c>
      <c r="AR96" s="331" t="e">
        <f t="shared" si="16"/>
        <v>#DIV/0!</v>
      </c>
      <c r="AS96" s="332">
        <f t="shared" si="17"/>
        <v>2.5714285714285716</v>
      </c>
      <c r="AT96" s="379" t="s">
        <v>1825</v>
      </c>
      <c r="AU96">
        <f t="shared" si="13"/>
        <v>36</v>
      </c>
    </row>
    <row r="97" spans="1:47" ht="29" x14ac:dyDescent="0.35">
      <c r="A97" s="389" t="s">
        <v>1735</v>
      </c>
      <c r="B97" s="307" t="s">
        <v>1295</v>
      </c>
      <c r="C97" s="308" t="s">
        <v>1296</v>
      </c>
      <c r="D97" s="338">
        <v>8</v>
      </c>
      <c r="E97" s="398">
        <v>56</v>
      </c>
      <c r="F97" s="310" t="s">
        <v>1819</v>
      </c>
      <c r="G97" s="413" t="s">
        <v>1820</v>
      </c>
      <c r="H97" s="397" t="s">
        <v>1821</v>
      </c>
      <c r="I97" s="342">
        <v>56320</v>
      </c>
      <c r="J97" s="391" t="s">
        <v>1819</v>
      </c>
      <c r="K97" s="319">
        <v>631712013</v>
      </c>
      <c r="L97" s="339">
        <v>43310</v>
      </c>
      <c r="M97" s="340">
        <v>43329</v>
      </c>
      <c r="N97" s="317" t="s">
        <v>1738</v>
      </c>
      <c r="O97" s="318" t="s">
        <v>1822</v>
      </c>
      <c r="P97" s="319">
        <v>760284797</v>
      </c>
      <c r="Q97" s="392" t="s">
        <v>1823</v>
      </c>
      <c r="R97" s="308" t="s">
        <v>1824</v>
      </c>
      <c r="S97" s="276">
        <v>0</v>
      </c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2"/>
      <c r="AE97" s="323"/>
      <c r="AF97" s="323"/>
      <c r="AG97" s="325">
        <v>16</v>
      </c>
      <c r="AH97" s="324">
        <v>6</v>
      </c>
      <c r="AI97" s="321"/>
      <c r="AJ97" s="321"/>
      <c r="AK97" s="321"/>
      <c r="AL97" s="321"/>
      <c r="AM97" s="327">
        <f t="shared" si="14"/>
        <v>0</v>
      </c>
      <c r="AN97" s="376"/>
      <c r="AO97" s="329">
        <f t="shared" si="18"/>
        <v>16</v>
      </c>
      <c r="AP97" s="329">
        <f t="shared" si="19"/>
        <v>6</v>
      </c>
      <c r="AQ97" s="349">
        <f t="shared" si="15"/>
        <v>2.6666666666666665</v>
      </c>
      <c r="AR97" s="331" t="e">
        <f t="shared" si="16"/>
        <v>#DIV/0!</v>
      </c>
      <c r="AS97" s="332">
        <f t="shared" si="17"/>
        <v>2.6666666666666665</v>
      </c>
      <c r="AT97" s="379" t="s">
        <v>1826</v>
      </c>
      <c r="AU97">
        <f t="shared" si="13"/>
        <v>32</v>
      </c>
    </row>
    <row r="98" spans="1:47" ht="43.5" x14ac:dyDescent="0.35">
      <c r="A98" s="389" t="s">
        <v>1735</v>
      </c>
      <c r="B98" s="307" t="s">
        <v>1295</v>
      </c>
      <c r="C98" s="308" t="s">
        <v>1296</v>
      </c>
      <c r="D98" s="338">
        <v>8</v>
      </c>
      <c r="E98" s="398">
        <v>56</v>
      </c>
      <c r="F98" s="310" t="s">
        <v>1827</v>
      </c>
      <c r="G98" s="413" t="s">
        <v>1828</v>
      </c>
      <c r="H98" s="397" t="s">
        <v>1829</v>
      </c>
      <c r="I98" s="342">
        <v>56510</v>
      </c>
      <c r="J98" s="391" t="s">
        <v>1827</v>
      </c>
      <c r="K98" s="319">
        <v>631712138</v>
      </c>
      <c r="L98" s="339">
        <v>43310</v>
      </c>
      <c r="M98" s="340">
        <v>43329</v>
      </c>
      <c r="N98" s="317" t="s">
        <v>1738</v>
      </c>
      <c r="O98" s="318" t="s">
        <v>1830</v>
      </c>
      <c r="P98" s="319">
        <v>658008938</v>
      </c>
      <c r="Q98" s="392" t="s">
        <v>1831</v>
      </c>
      <c r="R98" s="308" t="s">
        <v>1832</v>
      </c>
      <c r="S98" s="276">
        <v>0</v>
      </c>
      <c r="T98" s="321"/>
      <c r="U98" s="321"/>
      <c r="V98" s="321"/>
      <c r="W98" s="321"/>
      <c r="X98" s="321"/>
      <c r="Y98" s="321"/>
      <c r="Z98" s="321"/>
      <c r="AA98" s="321"/>
      <c r="AB98" s="321"/>
      <c r="AC98" s="321"/>
      <c r="AD98" s="322"/>
      <c r="AE98" s="323"/>
      <c r="AF98" s="323"/>
      <c r="AG98" s="325">
        <v>16</v>
      </c>
      <c r="AH98" s="324">
        <v>4</v>
      </c>
      <c r="AI98" s="321"/>
      <c r="AJ98" s="321"/>
      <c r="AK98" s="321"/>
      <c r="AL98" s="321"/>
      <c r="AM98" s="327">
        <f t="shared" si="14"/>
        <v>0</v>
      </c>
      <c r="AN98" s="376"/>
      <c r="AO98" s="329">
        <f t="shared" si="18"/>
        <v>16</v>
      </c>
      <c r="AP98" s="329">
        <f t="shared" si="19"/>
        <v>4</v>
      </c>
      <c r="AQ98" s="349">
        <f t="shared" si="15"/>
        <v>4</v>
      </c>
      <c r="AR98" s="331" t="e">
        <f t="shared" si="16"/>
        <v>#DIV/0!</v>
      </c>
      <c r="AS98" s="332">
        <f t="shared" si="17"/>
        <v>4</v>
      </c>
      <c r="AT98" s="379" t="s">
        <v>1833</v>
      </c>
      <c r="AU98">
        <f t="shared" si="13"/>
        <v>32</v>
      </c>
    </row>
    <row r="99" spans="1:47" ht="43.5" x14ac:dyDescent="0.35">
      <c r="A99" s="389" t="s">
        <v>1735</v>
      </c>
      <c r="B99" s="307" t="s">
        <v>1295</v>
      </c>
      <c r="C99" s="308" t="s">
        <v>1834</v>
      </c>
      <c r="D99" s="338">
        <v>8</v>
      </c>
      <c r="E99" s="423" t="s">
        <v>1592</v>
      </c>
      <c r="F99" s="394" t="s">
        <v>1835</v>
      </c>
      <c r="G99" s="413" t="s">
        <v>1836</v>
      </c>
      <c r="H99" s="397" t="s">
        <v>1837</v>
      </c>
      <c r="I99" s="342">
        <v>0</v>
      </c>
      <c r="J99" s="396" t="s">
        <v>1835</v>
      </c>
      <c r="K99" s="319">
        <v>772088246</v>
      </c>
      <c r="L99" s="339">
        <v>43310</v>
      </c>
      <c r="M99" s="340">
        <v>43329</v>
      </c>
      <c r="N99" s="317" t="s">
        <v>1738</v>
      </c>
      <c r="O99" s="318" t="s">
        <v>1739</v>
      </c>
      <c r="P99" s="319">
        <v>651471038</v>
      </c>
      <c r="Q99" s="392" t="s">
        <v>1740</v>
      </c>
      <c r="R99" s="308" t="s">
        <v>1741</v>
      </c>
      <c r="S99" s="276">
        <v>0</v>
      </c>
      <c r="T99" s="321"/>
      <c r="U99" s="321"/>
      <c r="V99" s="321"/>
      <c r="W99" s="321"/>
      <c r="X99" s="321"/>
      <c r="Y99" s="321"/>
      <c r="Z99" s="321"/>
      <c r="AA99" s="321"/>
      <c r="AB99" s="321"/>
      <c r="AC99" s="321"/>
      <c r="AD99" s="322"/>
      <c r="AE99" s="323"/>
      <c r="AF99" s="323"/>
      <c r="AG99" s="325">
        <v>16</v>
      </c>
      <c r="AH99" s="324">
        <v>3</v>
      </c>
      <c r="AI99" s="321"/>
      <c r="AJ99" s="321"/>
      <c r="AK99" s="321"/>
      <c r="AL99" s="321"/>
      <c r="AM99" s="327">
        <f t="shared" si="14"/>
        <v>0</v>
      </c>
      <c r="AN99" s="376"/>
      <c r="AO99" s="329">
        <f t="shared" si="18"/>
        <v>16</v>
      </c>
      <c r="AP99" s="329">
        <f t="shared" si="19"/>
        <v>3</v>
      </c>
      <c r="AQ99" s="349">
        <f t="shared" si="15"/>
        <v>5.333333333333333</v>
      </c>
      <c r="AR99" s="331" t="e">
        <f t="shared" si="16"/>
        <v>#DIV/0!</v>
      </c>
      <c r="AS99" s="332">
        <f t="shared" si="17"/>
        <v>5.333333333333333</v>
      </c>
      <c r="AT99" s="379" t="s">
        <v>1838</v>
      </c>
      <c r="AU99">
        <f t="shared" si="13"/>
        <v>32</v>
      </c>
    </row>
    <row r="100" spans="1:47" ht="43.5" x14ac:dyDescent="0.35">
      <c r="A100" s="389" t="s">
        <v>1735</v>
      </c>
      <c r="B100" s="307" t="s">
        <v>1295</v>
      </c>
      <c r="C100" s="308" t="s">
        <v>1834</v>
      </c>
      <c r="D100" s="338">
        <v>8</v>
      </c>
      <c r="E100" s="423" t="s">
        <v>1592</v>
      </c>
      <c r="F100" s="394" t="s">
        <v>1839</v>
      </c>
      <c r="G100" s="413" t="s">
        <v>1840</v>
      </c>
      <c r="H100" s="397" t="s">
        <v>1841</v>
      </c>
      <c r="I100" s="342">
        <v>0</v>
      </c>
      <c r="J100" s="313" t="s">
        <v>1839</v>
      </c>
      <c r="K100" s="319">
        <v>643717017</v>
      </c>
      <c r="L100" s="339">
        <v>43310</v>
      </c>
      <c r="M100" s="340">
        <v>43329</v>
      </c>
      <c r="N100" s="317" t="s">
        <v>1738</v>
      </c>
      <c r="O100" s="318" t="s">
        <v>1842</v>
      </c>
      <c r="P100" s="319">
        <v>665919750</v>
      </c>
      <c r="Q100" s="392" t="s">
        <v>1843</v>
      </c>
      <c r="R100" s="308" t="s">
        <v>1844</v>
      </c>
      <c r="S100" s="276">
        <v>0</v>
      </c>
      <c r="T100" s="321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2"/>
      <c r="AE100" s="323"/>
      <c r="AF100" s="323"/>
      <c r="AG100" s="325">
        <v>16</v>
      </c>
      <c r="AH100" s="324">
        <v>3</v>
      </c>
      <c r="AI100" s="321"/>
      <c r="AJ100" s="321"/>
      <c r="AK100" s="321"/>
      <c r="AL100" s="321"/>
      <c r="AM100" s="327">
        <f t="shared" si="14"/>
        <v>0</v>
      </c>
      <c r="AN100" s="376"/>
      <c r="AO100" s="329">
        <f t="shared" si="18"/>
        <v>16</v>
      </c>
      <c r="AP100" s="329">
        <f t="shared" si="19"/>
        <v>3</v>
      </c>
      <c r="AQ100" s="349">
        <f t="shared" si="15"/>
        <v>5.333333333333333</v>
      </c>
      <c r="AR100" s="331" t="e">
        <f t="shared" si="16"/>
        <v>#DIV/0!</v>
      </c>
      <c r="AS100" s="332">
        <f t="shared" si="17"/>
        <v>5.333333333333333</v>
      </c>
      <c r="AT100" s="379" t="s">
        <v>1845</v>
      </c>
      <c r="AU100">
        <f t="shared" si="13"/>
        <v>32</v>
      </c>
    </row>
    <row r="101" spans="1:47" ht="43.5" x14ac:dyDescent="0.35">
      <c r="A101" s="389" t="s">
        <v>1735</v>
      </c>
      <c r="B101" s="307" t="s">
        <v>1295</v>
      </c>
      <c r="C101" s="308" t="s">
        <v>1617</v>
      </c>
      <c r="D101" s="338">
        <v>8</v>
      </c>
      <c r="E101" s="398">
        <v>88</v>
      </c>
      <c r="F101" s="310" t="s">
        <v>1846</v>
      </c>
      <c r="G101" s="413" t="s">
        <v>1847</v>
      </c>
      <c r="H101" s="397" t="s">
        <v>1848</v>
      </c>
      <c r="I101" s="342">
        <v>88540</v>
      </c>
      <c r="J101" s="313" t="s">
        <v>1846</v>
      </c>
      <c r="K101" s="319">
        <v>631712089</v>
      </c>
      <c r="L101" s="339">
        <v>43310</v>
      </c>
      <c r="M101" s="340">
        <v>43329</v>
      </c>
      <c r="N101" s="317" t="s">
        <v>1738</v>
      </c>
      <c r="O101" s="318" t="s">
        <v>1849</v>
      </c>
      <c r="P101" s="319">
        <v>751196654</v>
      </c>
      <c r="Q101" s="392" t="s">
        <v>1850</v>
      </c>
      <c r="R101" s="308" t="s">
        <v>1851</v>
      </c>
      <c r="S101" s="276">
        <v>0</v>
      </c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2"/>
      <c r="AE101" s="323"/>
      <c r="AF101" s="323"/>
      <c r="AG101" s="325">
        <v>16</v>
      </c>
      <c r="AH101" s="324">
        <v>4</v>
      </c>
      <c r="AI101" s="321"/>
      <c r="AJ101" s="321"/>
      <c r="AK101" s="321"/>
      <c r="AL101" s="321"/>
      <c r="AM101" s="327">
        <f t="shared" si="14"/>
        <v>0</v>
      </c>
      <c r="AN101" s="376"/>
      <c r="AO101" s="329">
        <f t="shared" si="18"/>
        <v>16</v>
      </c>
      <c r="AP101" s="329">
        <f t="shared" si="19"/>
        <v>4</v>
      </c>
      <c r="AQ101" s="349">
        <f t="shared" si="15"/>
        <v>4</v>
      </c>
      <c r="AR101" s="331" t="e">
        <f t="shared" si="16"/>
        <v>#DIV/0!</v>
      </c>
      <c r="AS101" s="332">
        <f t="shared" si="17"/>
        <v>4</v>
      </c>
      <c r="AT101" s="379" t="s">
        <v>1852</v>
      </c>
      <c r="AU101">
        <f t="shared" si="13"/>
        <v>32</v>
      </c>
    </row>
    <row r="102" spans="1:47" x14ac:dyDescent="0.35">
      <c r="A102" s="389" t="s">
        <v>1735</v>
      </c>
      <c r="B102" s="307" t="s">
        <v>1295</v>
      </c>
      <c r="C102" s="308" t="s">
        <v>1305</v>
      </c>
      <c r="D102" s="338">
        <v>8</v>
      </c>
      <c r="E102" s="398">
        <v>50</v>
      </c>
      <c r="F102" s="310" t="s">
        <v>1853</v>
      </c>
      <c r="G102" s="413" t="s">
        <v>1854</v>
      </c>
      <c r="H102" s="397" t="s">
        <v>1855</v>
      </c>
      <c r="I102" s="342">
        <v>50440</v>
      </c>
      <c r="J102" s="391" t="s">
        <v>1853</v>
      </c>
      <c r="K102" s="319">
        <v>631712315</v>
      </c>
      <c r="L102" s="339">
        <v>43310</v>
      </c>
      <c r="M102" s="340">
        <v>43329</v>
      </c>
      <c r="N102" s="317" t="s">
        <v>1738</v>
      </c>
      <c r="O102" s="318">
        <v>0</v>
      </c>
      <c r="P102" s="319">
        <v>0</v>
      </c>
      <c r="Q102" s="320">
        <v>0</v>
      </c>
      <c r="R102" s="308">
        <v>0</v>
      </c>
      <c r="S102" s="276">
        <v>0</v>
      </c>
      <c r="T102" s="321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2"/>
      <c r="AE102" s="323"/>
      <c r="AF102" s="323"/>
      <c r="AG102" s="325">
        <v>16</v>
      </c>
      <c r="AH102" s="324">
        <v>6</v>
      </c>
      <c r="AI102" s="321"/>
      <c r="AJ102" s="321"/>
      <c r="AK102" s="321"/>
      <c r="AL102" s="321"/>
      <c r="AM102" s="327">
        <f t="shared" si="14"/>
        <v>0</v>
      </c>
      <c r="AN102" s="376"/>
      <c r="AO102" s="329">
        <f t="shared" si="18"/>
        <v>16</v>
      </c>
      <c r="AP102" s="329">
        <f t="shared" si="19"/>
        <v>6</v>
      </c>
      <c r="AQ102" s="349">
        <f t="shared" si="15"/>
        <v>2.6666666666666665</v>
      </c>
      <c r="AR102" s="331" t="e">
        <f t="shared" si="16"/>
        <v>#DIV/0!</v>
      </c>
      <c r="AS102" s="332">
        <f t="shared" si="17"/>
        <v>2.6666666666666665</v>
      </c>
      <c r="AT102" s="379" t="s">
        <v>1856</v>
      </c>
      <c r="AU102">
        <f t="shared" si="13"/>
        <v>32</v>
      </c>
    </row>
    <row r="103" spans="1:47" ht="43.5" x14ac:dyDescent="0.35">
      <c r="A103" s="389" t="s">
        <v>1735</v>
      </c>
      <c r="B103" s="307" t="s">
        <v>1295</v>
      </c>
      <c r="C103" s="308" t="s">
        <v>1630</v>
      </c>
      <c r="D103" s="338">
        <v>8</v>
      </c>
      <c r="E103" s="398">
        <v>16</v>
      </c>
      <c r="F103" s="310" t="s">
        <v>1857</v>
      </c>
      <c r="G103" s="413" t="s">
        <v>1789</v>
      </c>
      <c r="H103" s="397" t="s">
        <v>1858</v>
      </c>
      <c r="I103" s="342">
        <v>16270</v>
      </c>
      <c r="J103" s="391" t="s">
        <v>1857</v>
      </c>
      <c r="K103" s="319">
        <v>643716502</v>
      </c>
      <c r="L103" s="339">
        <v>43310</v>
      </c>
      <c r="M103" s="340">
        <v>43329</v>
      </c>
      <c r="N103" s="317" t="s">
        <v>1738</v>
      </c>
      <c r="O103" s="318" t="s">
        <v>1859</v>
      </c>
      <c r="P103" s="319">
        <v>686603500</v>
      </c>
      <c r="Q103" s="392" t="s">
        <v>1860</v>
      </c>
      <c r="R103" s="308" t="s">
        <v>1861</v>
      </c>
      <c r="S103" s="276">
        <v>0</v>
      </c>
      <c r="T103" s="321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2"/>
      <c r="AE103" s="323"/>
      <c r="AF103" s="323"/>
      <c r="AG103" s="325">
        <v>16</v>
      </c>
      <c r="AH103" s="324">
        <v>8</v>
      </c>
      <c r="AI103" s="321"/>
      <c r="AJ103" s="321"/>
      <c r="AK103" s="321"/>
      <c r="AL103" s="321"/>
      <c r="AM103" s="327">
        <f t="shared" si="14"/>
        <v>0</v>
      </c>
      <c r="AN103" s="376"/>
      <c r="AO103" s="329">
        <f t="shared" si="18"/>
        <v>16</v>
      </c>
      <c r="AP103" s="329">
        <f t="shared" si="19"/>
        <v>8</v>
      </c>
      <c r="AQ103" s="349">
        <f t="shared" si="15"/>
        <v>2</v>
      </c>
      <c r="AR103" s="331" t="e">
        <f t="shared" si="16"/>
        <v>#DIV/0!</v>
      </c>
      <c r="AS103" s="332">
        <f t="shared" si="17"/>
        <v>2</v>
      </c>
      <c r="AT103" s="379" t="s">
        <v>1862</v>
      </c>
      <c r="AU103">
        <f t="shared" si="13"/>
        <v>32</v>
      </c>
    </row>
    <row r="104" spans="1:47" ht="48" x14ac:dyDescent="0.35">
      <c r="A104" s="389" t="s">
        <v>1735</v>
      </c>
      <c r="B104" s="307" t="s">
        <v>1295</v>
      </c>
      <c r="C104" s="308" t="s">
        <v>1630</v>
      </c>
      <c r="D104" s="338">
        <v>8</v>
      </c>
      <c r="E104" s="398">
        <v>17</v>
      </c>
      <c r="F104" s="310" t="s">
        <v>1743</v>
      </c>
      <c r="G104" s="413" t="s">
        <v>1744</v>
      </c>
      <c r="H104" s="397" t="s">
        <v>1745</v>
      </c>
      <c r="I104" s="342">
        <v>17340</v>
      </c>
      <c r="J104" s="391" t="s">
        <v>1743</v>
      </c>
      <c r="K104" s="319">
        <v>643716864</v>
      </c>
      <c r="L104" s="339">
        <v>43310</v>
      </c>
      <c r="M104" s="340">
        <v>43329</v>
      </c>
      <c r="N104" s="317" t="s">
        <v>1738</v>
      </c>
      <c r="O104" s="318" t="s">
        <v>1774</v>
      </c>
      <c r="P104" s="319">
        <v>621627764</v>
      </c>
      <c r="Q104" s="392" t="s">
        <v>1775</v>
      </c>
      <c r="R104" s="308" t="s">
        <v>1776</v>
      </c>
      <c r="S104" s="276">
        <v>0</v>
      </c>
      <c r="T104" s="321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2"/>
      <c r="AE104" s="323"/>
      <c r="AF104" s="323"/>
      <c r="AG104" s="325">
        <v>21</v>
      </c>
      <c r="AH104" s="324">
        <v>5</v>
      </c>
      <c r="AI104" s="321"/>
      <c r="AJ104" s="321"/>
      <c r="AK104" s="321"/>
      <c r="AL104" s="321"/>
      <c r="AM104" s="327">
        <f t="shared" si="14"/>
        <v>0</v>
      </c>
      <c r="AN104" s="376"/>
      <c r="AO104" s="329">
        <f t="shared" si="18"/>
        <v>21</v>
      </c>
      <c r="AP104" s="329">
        <f t="shared" si="19"/>
        <v>5</v>
      </c>
      <c r="AQ104" s="349">
        <f t="shared" si="15"/>
        <v>4.2</v>
      </c>
      <c r="AR104" s="331" t="e">
        <f t="shared" si="16"/>
        <v>#DIV/0!</v>
      </c>
      <c r="AS104" s="332">
        <f t="shared" si="17"/>
        <v>4.2</v>
      </c>
      <c r="AT104" s="379" t="s">
        <v>1863</v>
      </c>
      <c r="AU104">
        <f t="shared" si="13"/>
        <v>42</v>
      </c>
    </row>
    <row r="105" spans="1:47" ht="24" x14ac:dyDescent="0.35">
      <c r="A105" s="389" t="s">
        <v>1735</v>
      </c>
      <c r="B105" s="307" t="s">
        <v>1295</v>
      </c>
      <c r="C105" s="308" t="s">
        <v>1630</v>
      </c>
      <c r="D105" s="338">
        <v>8</v>
      </c>
      <c r="E105" s="398">
        <v>24</v>
      </c>
      <c r="F105" s="310" t="s">
        <v>1864</v>
      </c>
      <c r="G105" s="413" t="s">
        <v>1547</v>
      </c>
      <c r="H105" s="397" t="s">
        <v>1865</v>
      </c>
      <c r="I105" s="342">
        <v>24000</v>
      </c>
      <c r="J105" s="391" t="s">
        <v>1864</v>
      </c>
      <c r="K105" s="319">
        <v>682138344</v>
      </c>
      <c r="L105" s="339">
        <v>43310</v>
      </c>
      <c r="M105" s="340">
        <v>43329</v>
      </c>
      <c r="N105" s="317" t="s">
        <v>1738</v>
      </c>
      <c r="O105" s="318">
        <v>0</v>
      </c>
      <c r="P105" s="319">
        <v>0</v>
      </c>
      <c r="Q105" s="320">
        <v>0</v>
      </c>
      <c r="R105" s="308">
        <v>0</v>
      </c>
      <c r="S105" s="276">
        <v>0</v>
      </c>
      <c r="T105" s="321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2"/>
      <c r="AE105" s="323"/>
      <c r="AF105" s="323"/>
      <c r="AG105" s="325">
        <v>14</v>
      </c>
      <c r="AH105" s="324">
        <v>8</v>
      </c>
      <c r="AI105" s="321"/>
      <c r="AJ105" s="321"/>
      <c r="AK105" s="321"/>
      <c r="AL105" s="321"/>
      <c r="AM105" s="327">
        <f t="shared" si="14"/>
        <v>0</v>
      </c>
      <c r="AN105" s="376"/>
      <c r="AO105" s="329">
        <f t="shared" si="18"/>
        <v>14</v>
      </c>
      <c r="AP105" s="329">
        <f t="shared" si="19"/>
        <v>8</v>
      </c>
      <c r="AQ105" s="349">
        <f t="shared" si="15"/>
        <v>1.75</v>
      </c>
      <c r="AR105" s="331" t="e">
        <f t="shared" si="16"/>
        <v>#DIV/0!</v>
      </c>
      <c r="AS105" s="332">
        <f t="shared" si="17"/>
        <v>1.75</v>
      </c>
      <c r="AT105" s="379" t="s">
        <v>1866</v>
      </c>
      <c r="AU105">
        <f t="shared" si="13"/>
        <v>28</v>
      </c>
    </row>
    <row r="106" spans="1:47" ht="24" x14ac:dyDescent="0.35">
      <c r="A106" s="389" t="s">
        <v>1735</v>
      </c>
      <c r="B106" s="307" t="s">
        <v>1295</v>
      </c>
      <c r="C106" s="308" t="s">
        <v>1630</v>
      </c>
      <c r="D106" s="338">
        <v>8</v>
      </c>
      <c r="E106" s="398">
        <v>24</v>
      </c>
      <c r="F106" s="310" t="s">
        <v>1864</v>
      </c>
      <c r="G106" s="413" t="s">
        <v>1547</v>
      </c>
      <c r="H106" s="397" t="s">
        <v>1865</v>
      </c>
      <c r="I106" s="342">
        <v>24000</v>
      </c>
      <c r="J106" s="391" t="s">
        <v>1864</v>
      </c>
      <c r="K106" s="319">
        <v>643716652</v>
      </c>
      <c r="L106" s="339">
        <v>43310</v>
      </c>
      <c r="M106" s="340">
        <v>43329</v>
      </c>
      <c r="N106" s="317" t="s">
        <v>1738</v>
      </c>
      <c r="O106" s="318">
        <v>0</v>
      </c>
      <c r="P106" s="319">
        <v>0</v>
      </c>
      <c r="Q106" s="320">
        <v>0</v>
      </c>
      <c r="R106" s="308">
        <v>0</v>
      </c>
      <c r="S106" s="276">
        <v>0</v>
      </c>
      <c r="T106" s="321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2"/>
      <c r="AE106" s="323"/>
      <c r="AF106" s="323"/>
      <c r="AG106" s="325">
        <v>14</v>
      </c>
      <c r="AH106" s="324">
        <v>6</v>
      </c>
      <c r="AI106" s="321"/>
      <c r="AJ106" s="321"/>
      <c r="AK106" s="321"/>
      <c r="AL106" s="321"/>
      <c r="AM106" s="327">
        <f t="shared" si="14"/>
        <v>0</v>
      </c>
      <c r="AN106" s="376"/>
      <c r="AO106" s="329">
        <f t="shared" si="18"/>
        <v>14</v>
      </c>
      <c r="AP106" s="329">
        <f t="shared" si="19"/>
        <v>6</v>
      </c>
      <c r="AQ106" s="349">
        <f t="shared" si="15"/>
        <v>2.3333333333333335</v>
      </c>
      <c r="AR106" s="331" t="e">
        <f t="shared" si="16"/>
        <v>#DIV/0!</v>
      </c>
      <c r="AS106" s="332">
        <f t="shared" si="17"/>
        <v>2.3333333333333335</v>
      </c>
      <c r="AT106" s="379" t="s">
        <v>1867</v>
      </c>
      <c r="AU106">
        <f t="shared" si="13"/>
        <v>28</v>
      </c>
    </row>
    <row r="107" spans="1:47" ht="48" x14ac:dyDescent="0.35">
      <c r="A107" s="389" t="s">
        <v>1735</v>
      </c>
      <c r="B107" s="307" t="s">
        <v>1295</v>
      </c>
      <c r="C107" s="308" t="s">
        <v>1630</v>
      </c>
      <c r="D107" s="338">
        <v>8</v>
      </c>
      <c r="E107" s="398">
        <v>33</v>
      </c>
      <c r="F107" s="310" t="s">
        <v>1868</v>
      </c>
      <c r="G107" s="413" t="s">
        <v>1869</v>
      </c>
      <c r="H107" s="397" t="s">
        <v>1870</v>
      </c>
      <c r="I107" s="342">
        <v>33950</v>
      </c>
      <c r="J107" s="391" t="s">
        <v>1868</v>
      </c>
      <c r="K107" s="319">
        <v>643716804</v>
      </c>
      <c r="L107" s="339">
        <v>43310</v>
      </c>
      <c r="M107" s="340">
        <v>43329</v>
      </c>
      <c r="N107" s="317" t="s">
        <v>1738</v>
      </c>
      <c r="O107" s="318" t="s">
        <v>1760</v>
      </c>
      <c r="P107" s="319">
        <v>626012626</v>
      </c>
      <c r="Q107" s="392" t="s">
        <v>1761</v>
      </c>
      <c r="R107" s="308" t="s">
        <v>1871</v>
      </c>
      <c r="S107" s="276">
        <v>0</v>
      </c>
      <c r="T107" s="321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2"/>
      <c r="AE107" s="323"/>
      <c r="AF107" s="323"/>
      <c r="AG107" s="325">
        <v>21</v>
      </c>
      <c r="AH107" s="324">
        <v>5</v>
      </c>
      <c r="AI107" s="321"/>
      <c r="AJ107" s="321"/>
      <c r="AK107" s="321"/>
      <c r="AL107" s="321"/>
      <c r="AM107" s="327">
        <f t="shared" si="14"/>
        <v>0</v>
      </c>
      <c r="AN107" s="376"/>
      <c r="AO107" s="329">
        <f t="shared" si="18"/>
        <v>21</v>
      </c>
      <c r="AP107" s="329">
        <f t="shared" si="19"/>
        <v>5</v>
      </c>
      <c r="AQ107" s="349">
        <f t="shared" si="15"/>
        <v>4.2</v>
      </c>
      <c r="AR107" s="331" t="e">
        <f t="shared" si="16"/>
        <v>#DIV/0!</v>
      </c>
      <c r="AS107" s="332">
        <f t="shared" si="17"/>
        <v>4.2</v>
      </c>
      <c r="AT107" s="379" t="s">
        <v>1872</v>
      </c>
      <c r="AU107">
        <f t="shared" si="13"/>
        <v>42</v>
      </c>
    </row>
    <row r="108" spans="1:47" x14ac:dyDescent="0.35">
      <c r="A108" s="389" t="s">
        <v>1735</v>
      </c>
      <c r="B108" s="307" t="s">
        <v>1295</v>
      </c>
      <c r="C108" s="308" t="s">
        <v>1364</v>
      </c>
      <c r="D108" s="338">
        <v>8</v>
      </c>
      <c r="E108" s="398">
        <v>44</v>
      </c>
      <c r="F108" s="310" t="s">
        <v>1873</v>
      </c>
      <c r="G108" s="413" t="s">
        <v>1874</v>
      </c>
      <c r="H108" s="397" t="s">
        <v>1875</v>
      </c>
      <c r="I108" s="342">
        <v>44680</v>
      </c>
      <c r="J108" s="391" t="s">
        <v>1873</v>
      </c>
      <c r="K108" s="319">
        <v>631712278</v>
      </c>
      <c r="L108" s="339">
        <v>43310</v>
      </c>
      <c r="M108" s="340">
        <v>43329</v>
      </c>
      <c r="N108" s="317" t="s">
        <v>1738</v>
      </c>
      <c r="O108" s="318">
        <v>0</v>
      </c>
      <c r="P108" s="319">
        <v>0</v>
      </c>
      <c r="Q108" s="320">
        <v>0</v>
      </c>
      <c r="R108" s="308">
        <v>0</v>
      </c>
      <c r="S108" s="276">
        <v>0</v>
      </c>
      <c r="T108" s="321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2"/>
      <c r="AE108" s="323"/>
      <c r="AF108" s="323"/>
      <c r="AG108" s="325">
        <v>16</v>
      </c>
      <c r="AH108" s="324">
        <v>6</v>
      </c>
      <c r="AI108" s="321"/>
      <c r="AJ108" s="321"/>
      <c r="AK108" s="321"/>
      <c r="AL108" s="321"/>
      <c r="AM108" s="327">
        <f t="shared" si="14"/>
        <v>0</v>
      </c>
      <c r="AN108" s="376"/>
      <c r="AO108" s="329">
        <f t="shared" si="18"/>
        <v>16</v>
      </c>
      <c r="AP108" s="329">
        <f t="shared" si="19"/>
        <v>6</v>
      </c>
      <c r="AQ108" s="349">
        <f t="shared" si="15"/>
        <v>2.6666666666666665</v>
      </c>
      <c r="AR108" s="331" t="e">
        <f t="shared" si="16"/>
        <v>#DIV/0!</v>
      </c>
      <c r="AS108" s="332">
        <f t="shared" si="17"/>
        <v>2.6666666666666665</v>
      </c>
      <c r="AT108" s="379" t="s">
        <v>1876</v>
      </c>
      <c r="AU108">
        <f t="shared" si="13"/>
        <v>32</v>
      </c>
    </row>
    <row r="109" spans="1:47" ht="43.5" x14ac:dyDescent="0.35">
      <c r="A109" s="389" t="s">
        <v>1735</v>
      </c>
      <c r="B109" s="307" t="s">
        <v>1295</v>
      </c>
      <c r="C109" s="308" t="s">
        <v>1364</v>
      </c>
      <c r="D109" s="338">
        <v>8</v>
      </c>
      <c r="E109" s="398">
        <v>44</v>
      </c>
      <c r="F109" s="310" t="s">
        <v>1757</v>
      </c>
      <c r="G109" s="413" t="s">
        <v>1758</v>
      </c>
      <c r="H109" s="397" t="s">
        <v>1759</v>
      </c>
      <c r="I109" s="342">
        <v>44210</v>
      </c>
      <c r="J109" s="391" t="s">
        <v>1757</v>
      </c>
      <c r="K109" s="319">
        <v>643716732</v>
      </c>
      <c r="L109" s="339">
        <v>43310</v>
      </c>
      <c r="M109" s="340">
        <v>43329</v>
      </c>
      <c r="N109" s="317" t="s">
        <v>1738</v>
      </c>
      <c r="O109" s="318" t="s">
        <v>1877</v>
      </c>
      <c r="P109" s="319">
        <v>625738782</v>
      </c>
      <c r="Q109" s="392" t="s">
        <v>1878</v>
      </c>
      <c r="R109" s="308" t="s">
        <v>1879</v>
      </c>
      <c r="S109" s="276">
        <v>0</v>
      </c>
      <c r="T109" s="321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2"/>
      <c r="AE109" s="323"/>
      <c r="AF109" s="323"/>
      <c r="AG109" s="325">
        <v>21</v>
      </c>
      <c r="AH109" s="324">
        <v>5</v>
      </c>
      <c r="AI109" s="321"/>
      <c r="AJ109" s="321"/>
      <c r="AK109" s="321"/>
      <c r="AL109" s="321"/>
      <c r="AM109" s="327">
        <f t="shared" si="14"/>
        <v>0</v>
      </c>
      <c r="AN109" s="376"/>
      <c r="AO109" s="329">
        <f t="shared" si="18"/>
        <v>21</v>
      </c>
      <c r="AP109" s="329">
        <f t="shared" si="19"/>
        <v>5</v>
      </c>
      <c r="AQ109" s="349">
        <f t="shared" si="15"/>
        <v>4.2</v>
      </c>
      <c r="AR109" s="331" t="e">
        <f t="shared" si="16"/>
        <v>#DIV/0!</v>
      </c>
      <c r="AS109" s="332">
        <f t="shared" si="17"/>
        <v>4.2</v>
      </c>
      <c r="AT109" s="379" t="s">
        <v>1880</v>
      </c>
      <c r="AU109">
        <f t="shared" si="13"/>
        <v>42</v>
      </c>
    </row>
    <row r="110" spans="1:47" ht="43.5" x14ac:dyDescent="0.35">
      <c r="A110" s="389" t="s">
        <v>1735</v>
      </c>
      <c r="B110" s="307" t="s">
        <v>1295</v>
      </c>
      <c r="C110" s="308" t="s">
        <v>1364</v>
      </c>
      <c r="D110" s="338">
        <v>8</v>
      </c>
      <c r="E110" s="398">
        <v>44</v>
      </c>
      <c r="F110" s="310" t="s">
        <v>1881</v>
      </c>
      <c r="G110" s="217" t="s">
        <v>1882</v>
      </c>
      <c r="H110" s="201" t="s">
        <v>1883</v>
      </c>
      <c r="I110" s="342">
        <v>44380</v>
      </c>
      <c r="J110" s="391" t="s">
        <v>1881</v>
      </c>
      <c r="K110" s="319">
        <v>631712686</v>
      </c>
      <c r="L110" s="339">
        <v>43310</v>
      </c>
      <c r="M110" s="340">
        <v>43329</v>
      </c>
      <c r="N110" s="317" t="s">
        <v>1738</v>
      </c>
      <c r="O110" s="318" t="s">
        <v>1884</v>
      </c>
      <c r="P110" s="319">
        <v>665250566</v>
      </c>
      <c r="Q110" s="392" t="s">
        <v>1885</v>
      </c>
      <c r="R110" s="308" t="s">
        <v>1786</v>
      </c>
      <c r="S110" s="276">
        <v>0</v>
      </c>
      <c r="T110" s="321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2"/>
      <c r="AE110" s="323"/>
      <c r="AF110" s="323"/>
      <c r="AG110" s="325">
        <v>16</v>
      </c>
      <c r="AH110" s="324">
        <v>4</v>
      </c>
      <c r="AI110" s="321"/>
      <c r="AJ110" s="321"/>
      <c r="AK110" s="321"/>
      <c r="AL110" s="321"/>
      <c r="AM110" s="327">
        <f t="shared" si="14"/>
        <v>0</v>
      </c>
      <c r="AN110" s="376"/>
      <c r="AO110" s="329">
        <f t="shared" si="18"/>
        <v>16</v>
      </c>
      <c r="AP110" s="329">
        <f t="shared" si="19"/>
        <v>4</v>
      </c>
      <c r="AQ110" s="349">
        <f t="shared" si="15"/>
        <v>4</v>
      </c>
      <c r="AR110" s="331" t="e">
        <f t="shared" si="16"/>
        <v>#DIV/0!</v>
      </c>
      <c r="AS110" s="332">
        <f t="shared" si="17"/>
        <v>4</v>
      </c>
      <c r="AT110" s="379" t="s">
        <v>1886</v>
      </c>
      <c r="AU110">
        <f t="shared" si="13"/>
        <v>32</v>
      </c>
    </row>
    <row r="111" spans="1:47" ht="36" x14ac:dyDescent="0.35">
      <c r="A111" s="389" t="s">
        <v>1735</v>
      </c>
      <c r="B111" s="307" t="s">
        <v>1295</v>
      </c>
      <c r="C111" s="308" t="s">
        <v>1364</v>
      </c>
      <c r="D111" s="338">
        <v>8</v>
      </c>
      <c r="E111" s="398">
        <v>44</v>
      </c>
      <c r="F111" s="310" t="s">
        <v>1881</v>
      </c>
      <c r="G111" s="217" t="s">
        <v>1882</v>
      </c>
      <c r="H111" s="201" t="s">
        <v>1883</v>
      </c>
      <c r="I111" s="342">
        <v>44380</v>
      </c>
      <c r="J111" s="391" t="s">
        <v>1881</v>
      </c>
      <c r="K111" s="319">
        <v>643716783</v>
      </c>
      <c r="L111" s="339">
        <v>43310</v>
      </c>
      <c r="M111" s="340">
        <v>43329</v>
      </c>
      <c r="N111" s="317" t="s">
        <v>1738</v>
      </c>
      <c r="O111" s="318" t="s">
        <v>1887</v>
      </c>
      <c r="P111" s="319">
        <v>689295526</v>
      </c>
      <c r="Q111" s="392" t="s">
        <v>1888</v>
      </c>
      <c r="R111" s="308" t="s">
        <v>1889</v>
      </c>
      <c r="S111" s="276">
        <v>0</v>
      </c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2"/>
      <c r="AE111" s="323"/>
      <c r="AF111" s="323"/>
      <c r="AG111" s="325">
        <v>21</v>
      </c>
      <c r="AH111" s="324">
        <v>5</v>
      </c>
      <c r="AI111" s="321"/>
      <c r="AJ111" s="321"/>
      <c r="AK111" s="321"/>
      <c r="AL111" s="321"/>
      <c r="AM111" s="327">
        <f t="shared" si="14"/>
        <v>0</v>
      </c>
      <c r="AN111" s="376"/>
      <c r="AO111" s="329">
        <f t="shared" si="18"/>
        <v>21</v>
      </c>
      <c r="AP111" s="329">
        <f t="shared" si="19"/>
        <v>5</v>
      </c>
      <c r="AQ111" s="349">
        <f t="shared" si="15"/>
        <v>4.2</v>
      </c>
      <c r="AR111" s="331" t="e">
        <f t="shared" si="16"/>
        <v>#DIV/0!</v>
      </c>
      <c r="AS111" s="332">
        <f t="shared" si="17"/>
        <v>4.2</v>
      </c>
      <c r="AT111" s="379" t="s">
        <v>1890</v>
      </c>
      <c r="AU111">
        <f t="shared" si="13"/>
        <v>42</v>
      </c>
    </row>
    <row r="112" spans="1:47" ht="58" x14ac:dyDescent="0.35">
      <c r="A112" s="389" t="s">
        <v>1735</v>
      </c>
      <c r="B112" s="307" t="s">
        <v>1295</v>
      </c>
      <c r="C112" s="308" t="s">
        <v>1364</v>
      </c>
      <c r="D112" s="338">
        <v>8</v>
      </c>
      <c r="E112" s="398">
        <v>85</v>
      </c>
      <c r="F112" s="310" t="s">
        <v>1764</v>
      </c>
      <c r="G112" s="413" t="s">
        <v>1765</v>
      </c>
      <c r="H112" s="397" t="s">
        <v>1766</v>
      </c>
      <c r="I112" s="342">
        <v>85150</v>
      </c>
      <c r="J112" s="391" t="s">
        <v>1764</v>
      </c>
      <c r="K112" s="319">
        <v>643716729</v>
      </c>
      <c r="L112" s="339">
        <v>43310</v>
      </c>
      <c r="M112" s="340">
        <v>43329</v>
      </c>
      <c r="N112" s="317" t="s">
        <v>1738</v>
      </c>
      <c r="O112" s="318" t="s">
        <v>1891</v>
      </c>
      <c r="P112" s="319">
        <v>652528758</v>
      </c>
      <c r="Q112" s="392" t="s">
        <v>1892</v>
      </c>
      <c r="R112" s="308" t="s">
        <v>1893</v>
      </c>
      <c r="S112" s="276">
        <v>0</v>
      </c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2"/>
      <c r="AE112" s="323"/>
      <c r="AF112" s="323"/>
      <c r="AG112" s="325">
        <v>21</v>
      </c>
      <c r="AH112" s="324">
        <v>5</v>
      </c>
      <c r="AI112" s="321"/>
      <c r="AJ112" s="321"/>
      <c r="AK112" s="321"/>
      <c r="AL112" s="321"/>
      <c r="AM112" s="327">
        <f t="shared" si="14"/>
        <v>0</v>
      </c>
      <c r="AN112" s="376"/>
      <c r="AO112" s="329">
        <f t="shared" si="18"/>
        <v>21</v>
      </c>
      <c r="AP112" s="329">
        <f t="shared" si="19"/>
        <v>5</v>
      </c>
      <c r="AQ112" s="349">
        <f t="shared" si="15"/>
        <v>4.2</v>
      </c>
      <c r="AR112" s="331" t="e">
        <f t="shared" si="16"/>
        <v>#DIV/0!</v>
      </c>
      <c r="AS112" s="332">
        <f t="shared" si="17"/>
        <v>4.2</v>
      </c>
      <c r="AT112" s="379" t="s">
        <v>1894</v>
      </c>
      <c r="AU112">
        <f t="shared" si="13"/>
        <v>42</v>
      </c>
    </row>
    <row r="113" spans="1:47" ht="29" x14ac:dyDescent="0.35">
      <c r="A113" s="389" t="s">
        <v>1735</v>
      </c>
      <c r="B113" s="307" t="s">
        <v>1295</v>
      </c>
      <c r="C113" s="308" t="s">
        <v>1364</v>
      </c>
      <c r="D113" s="338">
        <v>8</v>
      </c>
      <c r="E113" s="398">
        <v>85</v>
      </c>
      <c r="F113" s="310" t="s">
        <v>1895</v>
      </c>
      <c r="G113" s="413" t="s">
        <v>1547</v>
      </c>
      <c r="H113" s="397" t="s">
        <v>1896</v>
      </c>
      <c r="I113" s="342">
        <v>85390</v>
      </c>
      <c r="J113" s="391" t="s">
        <v>1895</v>
      </c>
      <c r="K113" s="319">
        <v>683491672</v>
      </c>
      <c r="L113" s="339">
        <v>43310</v>
      </c>
      <c r="M113" s="340">
        <v>43329</v>
      </c>
      <c r="N113" s="317" t="s">
        <v>1738</v>
      </c>
      <c r="O113" s="318" t="s">
        <v>1897</v>
      </c>
      <c r="P113" s="319">
        <v>633734184</v>
      </c>
      <c r="Q113" s="392" t="s">
        <v>1898</v>
      </c>
      <c r="R113" s="308" t="s">
        <v>1801</v>
      </c>
      <c r="S113" s="276">
        <v>0</v>
      </c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2"/>
      <c r="AE113" s="323"/>
      <c r="AF113" s="323"/>
      <c r="AG113" s="325">
        <v>18</v>
      </c>
      <c r="AH113" s="324">
        <v>7</v>
      </c>
      <c r="AI113" s="321"/>
      <c r="AJ113" s="321"/>
      <c r="AK113" s="321"/>
      <c r="AL113" s="321"/>
      <c r="AM113" s="327">
        <f t="shared" si="14"/>
        <v>0</v>
      </c>
      <c r="AN113" s="376"/>
      <c r="AO113" s="329">
        <f t="shared" si="18"/>
        <v>18</v>
      </c>
      <c r="AP113" s="329">
        <f t="shared" si="19"/>
        <v>7</v>
      </c>
      <c r="AQ113" s="349">
        <f t="shared" si="15"/>
        <v>2.5714285714285716</v>
      </c>
      <c r="AR113" s="331" t="e">
        <f t="shared" si="16"/>
        <v>#DIV/0!</v>
      </c>
      <c r="AS113" s="332">
        <f t="shared" si="17"/>
        <v>2.5714285714285716</v>
      </c>
      <c r="AT113" s="379" t="s">
        <v>1899</v>
      </c>
      <c r="AU113">
        <f t="shared" si="13"/>
        <v>36</v>
      </c>
    </row>
    <row r="114" spans="1:47" ht="43.5" x14ac:dyDescent="0.35">
      <c r="A114" s="389" t="s">
        <v>1735</v>
      </c>
      <c r="B114" s="307" t="s">
        <v>1295</v>
      </c>
      <c r="C114" s="308" t="s">
        <v>1900</v>
      </c>
      <c r="D114" s="338">
        <v>8</v>
      </c>
      <c r="E114" s="398">
        <v>13</v>
      </c>
      <c r="F114" s="310" t="s">
        <v>1901</v>
      </c>
      <c r="G114" s="413" t="s">
        <v>1902</v>
      </c>
      <c r="H114" s="397" t="s">
        <v>1903</v>
      </c>
      <c r="I114" s="342">
        <v>13620</v>
      </c>
      <c r="J114" s="313" t="s">
        <v>1901</v>
      </c>
      <c r="K114" s="319">
        <v>643716970</v>
      </c>
      <c r="L114" s="339">
        <v>43310</v>
      </c>
      <c r="M114" s="340">
        <v>43329</v>
      </c>
      <c r="N114" s="317" t="s">
        <v>1738</v>
      </c>
      <c r="O114" s="318" t="s">
        <v>1904</v>
      </c>
      <c r="P114" s="319">
        <v>768318082</v>
      </c>
      <c r="Q114" s="392" t="s">
        <v>1905</v>
      </c>
      <c r="R114" s="308" t="s">
        <v>1906</v>
      </c>
      <c r="S114" s="276">
        <v>0</v>
      </c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2"/>
      <c r="AE114" s="323"/>
      <c r="AF114" s="323"/>
      <c r="AG114" s="325">
        <v>21</v>
      </c>
      <c r="AH114" s="324">
        <v>5</v>
      </c>
      <c r="AI114" s="321"/>
      <c r="AJ114" s="321"/>
      <c r="AK114" s="321"/>
      <c r="AL114" s="321"/>
      <c r="AM114" s="327">
        <f t="shared" si="14"/>
        <v>0</v>
      </c>
      <c r="AN114" s="376"/>
      <c r="AO114" s="329">
        <f t="shared" si="18"/>
        <v>21</v>
      </c>
      <c r="AP114" s="329">
        <f t="shared" si="19"/>
        <v>5</v>
      </c>
      <c r="AQ114" s="349">
        <f t="shared" si="15"/>
        <v>4.2</v>
      </c>
      <c r="AR114" s="331" t="e">
        <f t="shared" si="16"/>
        <v>#DIV/0!</v>
      </c>
      <c r="AS114" s="332">
        <f t="shared" si="17"/>
        <v>4.2</v>
      </c>
      <c r="AT114" s="379" t="s">
        <v>1907</v>
      </c>
      <c r="AU114">
        <f t="shared" si="13"/>
        <v>42</v>
      </c>
    </row>
    <row r="115" spans="1:47" ht="48" x14ac:dyDescent="0.35">
      <c r="A115" s="389" t="s">
        <v>1735</v>
      </c>
      <c r="B115" s="337" t="s">
        <v>1312</v>
      </c>
      <c r="C115" s="308" t="s">
        <v>1556</v>
      </c>
      <c r="D115" s="354">
        <v>8</v>
      </c>
      <c r="E115" s="398">
        <v>58</v>
      </c>
      <c r="F115" s="310" t="s">
        <v>1908</v>
      </c>
      <c r="G115" s="413" t="s">
        <v>1909</v>
      </c>
      <c r="H115" s="397" t="s">
        <v>1910</v>
      </c>
      <c r="I115" s="342">
        <v>58110</v>
      </c>
      <c r="J115" s="318" t="s">
        <v>1908</v>
      </c>
      <c r="K115" s="319">
        <v>772088237</v>
      </c>
      <c r="L115" s="339">
        <v>43310</v>
      </c>
      <c r="M115" s="340">
        <v>43329</v>
      </c>
      <c r="N115" s="317" t="s">
        <v>1738</v>
      </c>
      <c r="O115" s="318" t="s">
        <v>1911</v>
      </c>
      <c r="P115" s="319">
        <v>677717147</v>
      </c>
      <c r="Q115" s="392" t="s">
        <v>1912</v>
      </c>
      <c r="R115" s="308" t="s">
        <v>1913</v>
      </c>
      <c r="S115" s="276">
        <v>0</v>
      </c>
      <c r="T115" s="323"/>
      <c r="U115" s="323"/>
      <c r="V115" s="321"/>
      <c r="W115" s="321"/>
      <c r="X115" s="321"/>
      <c r="Y115" s="321"/>
      <c r="Z115" s="321"/>
      <c r="AA115" s="321"/>
      <c r="AB115" s="321"/>
      <c r="AC115" s="321"/>
      <c r="AD115" s="322"/>
      <c r="AE115" s="382"/>
      <c r="AF115" s="382"/>
      <c r="AG115" s="325">
        <f t="shared" ref="AG115:AG120" si="20">SUM(AE115:AF115)</f>
        <v>0</v>
      </c>
      <c r="AH115" s="323">
        <v>7</v>
      </c>
      <c r="AI115" s="201"/>
      <c r="AJ115" s="201">
        <v>21</v>
      </c>
      <c r="AK115" s="201"/>
      <c r="AL115" s="201"/>
      <c r="AM115" s="327">
        <f t="shared" si="14"/>
        <v>21</v>
      </c>
      <c r="AN115" s="336">
        <v>8</v>
      </c>
      <c r="AO115" s="329">
        <f t="shared" ref="AO115:AO120" si="21">AF115+AM115</f>
        <v>21</v>
      </c>
      <c r="AP115" s="329">
        <f t="shared" ref="AP115:AP120" si="22">+AH115+AN115</f>
        <v>15</v>
      </c>
      <c r="AQ115" s="331">
        <f t="shared" si="15"/>
        <v>0</v>
      </c>
      <c r="AR115" s="330">
        <f t="shared" si="16"/>
        <v>2.625</v>
      </c>
      <c r="AS115" s="332">
        <f t="shared" si="17"/>
        <v>1.4</v>
      </c>
      <c r="AT115" s="379"/>
      <c r="AU115">
        <f t="shared" si="13"/>
        <v>21</v>
      </c>
    </row>
    <row r="116" spans="1:47" ht="48" x14ac:dyDescent="0.35">
      <c r="A116" s="389" t="s">
        <v>1735</v>
      </c>
      <c r="B116" s="337" t="s">
        <v>1312</v>
      </c>
      <c r="C116" s="308" t="s">
        <v>1296</v>
      </c>
      <c r="D116" s="354">
        <v>8</v>
      </c>
      <c r="E116" s="398">
        <v>29</v>
      </c>
      <c r="F116" s="310" t="s">
        <v>1914</v>
      </c>
      <c r="G116" s="415" t="s">
        <v>1915</v>
      </c>
      <c r="H116" s="380" t="s">
        <v>1916</v>
      </c>
      <c r="I116" s="342">
        <v>29890</v>
      </c>
      <c r="J116" s="388" t="s">
        <v>1914</v>
      </c>
      <c r="K116" s="319">
        <v>672694139</v>
      </c>
      <c r="L116" s="339">
        <v>43310</v>
      </c>
      <c r="M116" s="340">
        <v>43329</v>
      </c>
      <c r="N116" s="317" t="s">
        <v>1738</v>
      </c>
      <c r="O116" s="318" t="s">
        <v>1917</v>
      </c>
      <c r="P116" s="319">
        <v>603843270</v>
      </c>
      <c r="Q116" s="392" t="s">
        <v>1918</v>
      </c>
      <c r="R116" s="308" t="s">
        <v>1919</v>
      </c>
      <c r="S116" s="276">
        <v>0</v>
      </c>
      <c r="T116" s="323"/>
      <c r="U116" s="323"/>
      <c r="V116" s="321"/>
      <c r="W116" s="321"/>
      <c r="X116" s="321"/>
      <c r="Y116" s="321"/>
      <c r="Z116" s="321"/>
      <c r="AA116" s="321"/>
      <c r="AB116" s="321"/>
      <c r="AC116" s="321"/>
      <c r="AD116" s="322"/>
      <c r="AE116" s="382"/>
      <c r="AF116" s="382"/>
      <c r="AG116" s="325">
        <f t="shared" si="20"/>
        <v>0</v>
      </c>
      <c r="AH116" s="323">
        <v>10</v>
      </c>
      <c r="AI116" s="201"/>
      <c r="AJ116" s="201"/>
      <c r="AK116" s="201">
        <v>14</v>
      </c>
      <c r="AL116" s="201">
        <v>28</v>
      </c>
      <c r="AM116" s="327">
        <f t="shared" si="14"/>
        <v>42</v>
      </c>
      <c r="AN116" s="336">
        <v>12</v>
      </c>
      <c r="AO116" s="329">
        <f t="shared" si="21"/>
        <v>42</v>
      </c>
      <c r="AP116" s="329">
        <f t="shared" si="22"/>
        <v>22</v>
      </c>
      <c r="AQ116" s="331">
        <f t="shared" si="15"/>
        <v>0</v>
      </c>
      <c r="AR116" s="330">
        <f t="shared" si="16"/>
        <v>3.5</v>
      </c>
      <c r="AS116" s="332">
        <f t="shared" si="17"/>
        <v>1.9090909090909092</v>
      </c>
      <c r="AT116" s="379"/>
      <c r="AU116">
        <f t="shared" si="13"/>
        <v>42</v>
      </c>
    </row>
    <row r="117" spans="1:47" ht="72" x14ac:dyDescent="0.35">
      <c r="A117" s="389" t="s">
        <v>1735</v>
      </c>
      <c r="B117" s="337" t="s">
        <v>1312</v>
      </c>
      <c r="C117" s="308" t="s">
        <v>1920</v>
      </c>
      <c r="D117" s="354">
        <v>8</v>
      </c>
      <c r="E117" s="398">
        <v>36</v>
      </c>
      <c r="F117" s="310" t="s">
        <v>1921</v>
      </c>
      <c r="G117" s="416" t="s">
        <v>1922</v>
      </c>
      <c r="H117" s="399" t="s">
        <v>1923</v>
      </c>
      <c r="I117" s="342">
        <v>36300</v>
      </c>
      <c r="J117" s="318" t="s">
        <v>1921</v>
      </c>
      <c r="K117" s="319">
        <v>772173931</v>
      </c>
      <c r="L117" s="339">
        <v>43310</v>
      </c>
      <c r="M117" s="340">
        <v>43329</v>
      </c>
      <c r="N117" s="317" t="s">
        <v>1738</v>
      </c>
      <c r="O117" s="318" t="s">
        <v>1924</v>
      </c>
      <c r="P117" s="319">
        <v>677843499</v>
      </c>
      <c r="Q117" s="392" t="s">
        <v>1925</v>
      </c>
      <c r="R117" s="308" t="s">
        <v>1926</v>
      </c>
      <c r="S117" s="276">
        <v>0</v>
      </c>
      <c r="T117" s="323"/>
      <c r="U117" s="323"/>
      <c r="V117" s="321"/>
      <c r="W117" s="321"/>
      <c r="X117" s="321"/>
      <c r="Y117" s="321"/>
      <c r="Z117" s="321"/>
      <c r="AA117" s="321"/>
      <c r="AB117" s="321"/>
      <c r="AC117" s="321"/>
      <c r="AD117" s="322"/>
      <c r="AE117" s="382"/>
      <c r="AF117" s="382"/>
      <c r="AG117" s="325">
        <f t="shared" si="20"/>
        <v>0</v>
      </c>
      <c r="AH117" s="323">
        <v>4</v>
      </c>
      <c r="AI117" s="201"/>
      <c r="AJ117" s="201"/>
      <c r="AK117" s="201">
        <v>8</v>
      </c>
      <c r="AL117" s="201">
        <v>8</v>
      </c>
      <c r="AM117" s="327">
        <f t="shared" si="14"/>
        <v>16</v>
      </c>
      <c r="AN117" s="336">
        <v>5</v>
      </c>
      <c r="AO117" s="329">
        <f t="shared" si="21"/>
        <v>16</v>
      </c>
      <c r="AP117" s="329">
        <f t="shared" si="22"/>
        <v>9</v>
      </c>
      <c r="AQ117" s="331">
        <f t="shared" si="15"/>
        <v>0</v>
      </c>
      <c r="AR117" s="330">
        <f t="shared" si="16"/>
        <v>3.2</v>
      </c>
      <c r="AS117" s="332">
        <f t="shared" si="17"/>
        <v>1.7777777777777777</v>
      </c>
      <c r="AT117" s="379"/>
      <c r="AU117">
        <f t="shared" si="13"/>
        <v>16</v>
      </c>
    </row>
    <row r="118" spans="1:47" ht="43.5" x14ac:dyDescent="0.35">
      <c r="A118" s="389" t="s">
        <v>1735</v>
      </c>
      <c r="B118" s="337" t="s">
        <v>1312</v>
      </c>
      <c r="C118" s="308" t="s">
        <v>1305</v>
      </c>
      <c r="D118" s="354">
        <v>8</v>
      </c>
      <c r="E118" s="398">
        <v>14</v>
      </c>
      <c r="F118" s="310" t="s">
        <v>1927</v>
      </c>
      <c r="G118" s="413" t="s">
        <v>1928</v>
      </c>
      <c r="H118" s="397" t="s">
        <v>1929</v>
      </c>
      <c r="I118" s="342">
        <v>14990</v>
      </c>
      <c r="J118" s="400" t="s">
        <v>1927</v>
      </c>
      <c r="K118" s="319">
        <v>672692815</v>
      </c>
      <c r="L118" s="339">
        <v>43310</v>
      </c>
      <c r="M118" s="340">
        <v>43329</v>
      </c>
      <c r="N118" s="317" t="s">
        <v>1738</v>
      </c>
      <c r="O118" s="318" t="s">
        <v>1930</v>
      </c>
      <c r="P118" s="319">
        <v>609448781</v>
      </c>
      <c r="Q118" s="392" t="s">
        <v>1931</v>
      </c>
      <c r="R118" s="308" t="s">
        <v>1932</v>
      </c>
      <c r="S118" s="276">
        <v>0</v>
      </c>
      <c r="T118" s="323"/>
      <c r="U118" s="323"/>
      <c r="V118" s="321"/>
      <c r="W118" s="321"/>
      <c r="X118" s="321"/>
      <c r="Y118" s="321"/>
      <c r="Z118" s="321"/>
      <c r="AA118" s="321"/>
      <c r="AB118" s="321"/>
      <c r="AC118" s="321"/>
      <c r="AD118" s="322"/>
      <c r="AE118" s="382"/>
      <c r="AF118" s="382"/>
      <c r="AG118" s="325">
        <f t="shared" si="20"/>
        <v>0</v>
      </c>
      <c r="AH118" s="323">
        <v>5</v>
      </c>
      <c r="AI118" s="201"/>
      <c r="AJ118" s="201"/>
      <c r="AK118" s="201">
        <v>14</v>
      </c>
      <c r="AL118" s="201">
        <v>7</v>
      </c>
      <c r="AM118" s="327">
        <f t="shared" si="14"/>
        <v>21</v>
      </c>
      <c r="AN118" s="336">
        <v>6</v>
      </c>
      <c r="AO118" s="329">
        <f t="shared" si="21"/>
        <v>21</v>
      </c>
      <c r="AP118" s="329">
        <f t="shared" si="22"/>
        <v>11</v>
      </c>
      <c r="AQ118" s="331">
        <f t="shared" si="15"/>
        <v>0</v>
      </c>
      <c r="AR118" s="330">
        <f t="shared" si="16"/>
        <v>3.5</v>
      </c>
      <c r="AS118" s="332">
        <f t="shared" si="17"/>
        <v>1.9090909090909092</v>
      </c>
      <c r="AT118" s="379"/>
      <c r="AU118">
        <f t="shared" si="13"/>
        <v>21</v>
      </c>
    </row>
    <row r="119" spans="1:47" ht="60" x14ac:dyDescent="0.35">
      <c r="A119" s="389" t="s">
        <v>1735</v>
      </c>
      <c r="B119" s="337" t="s">
        <v>1312</v>
      </c>
      <c r="C119" s="308" t="s">
        <v>1305</v>
      </c>
      <c r="D119" s="354">
        <v>8</v>
      </c>
      <c r="E119" s="398">
        <v>76</v>
      </c>
      <c r="F119" s="310" t="s">
        <v>1933</v>
      </c>
      <c r="G119" s="415" t="s">
        <v>1934</v>
      </c>
      <c r="H119" s="380" t="s">
        <v>1935</v>
      </c>
      <c r="I119" s="342">
        <v>76460</v>
      </c>
      <c r="J119" s="388" t="s">
        <v>1933</v>
      </c>
      <c r="K119" s="319">
        <v>647158462</v>
      </c>
      <c r="L119" s="339">
        <v>43310</v>
      </c>
      <c r="M119" s="340">
        <v>43329</v>
      </c>
      <c r="N119" s="317" t="s">
        <v>1738</v>
      </c>
      <c r="O119" s="318" t="s">
        <v>1936</v>
      </c>
      <c r="P119" s="319">
        <v>615417773</v>
      </c>
      <c r="Q119" s="392" t="s">
        <v>1937</v>
      </c>
      <c r="R119" s="308" t="s">
        <v>1938</v>
      </c>
      <c r="S119" s="276">
        <v>0</v>
      </c>
      <c r="T119" s="323"/>
      <c r="U119" s="323"/>
      <c r="V119" s="321"/>
      <c r="W119" s="321"/>
      <c r="X119" s="321"/>
      <c r="Y119" s="321"/>
      <c r="Z119" s="321"/>
      <c r="AA119" s="321"/>
      <c r="AB119" s="321"/>
      <c r="AC119" s="321"/>
      <c r="AD119" s="322"/>
      <c r="AE119" s="382"/>
      <c r="AF119" s="382"/>
      <c r="AG119" s="325">
        <f t="shared" si="20"/>
        <v>0</v>
      </c>
      <c r="AH119" s="323">
        <v>13</v>
      </c>
      <c r="AI119" s="201"/>
      <c r="AJ119" s="201"/>
      <c r="AK119" s="201">
        <v>21</v>
      </c>
      <c r="AL119" s="201">
        <v>21</v>
      </c>
      <c r="AM119" s="327">
        <f t="shared" si="14"/>
        <v>42</v>
      </c>
      <c r="AN119" s="336">
        <v>15</v>
      </c>
      <c r="AO119" s="329">
        <f t="shared" si="21"/>
        <v>42</v>
      </c>
      <c r="AP119" s="329">
        <f t="shared" si="22"/>
        <v>28</v>
      </c>
      <c r="AQ119" s="331">
        <f t="shared" si="15"/>
        <v>0</v>
      </c>
      <c r="AR119" s="330">
        <f t="shared" si="16"/>
        <v>2.8</v>
      </c>
      <c r="AS119" s="332">
        <f t="shared" si="17"/>
        <v>1.5</v>
      </c>
      <c r="AT119" s="379"/>
      <c r="AU119">
        <f t="shared" si="13"/>
        <v>42</v>
      </c>
    </row>
    <row r="120" spans="1:47" ht="96" x14ac:dyDescent="0.35">
      <c r="A120" s="389" t="s">
        <v>1735</v>
      </c>
      <c r="B120" s="337" t="s">
        <v>1312</v>
      </c>
      <c r="C120" s="308" t="s">
        <v>1630</v>
      </c>
      <c r="D120" s="354">
        <v>8</v>
      </c>
      <c r="E120" s="421">
        <v>17</v>
      </c>
      <c r="F120" s="401" t="s">
        <v>1771</v>
      </c>
      <c r="G120" s="413" t="s">
        <v>1772</v>
      </c>
      <c r="H120" s="397" t="s">
        <v>1773</v>
      </c>
      <c r="I120" s="384">
        <v>17132</v>
      </c>
      <c r="J120" s="402" t="s">
        <v>1771</v>
      </c>
      <c r="K120" s="319">
        <v>632886021</v>
      </c>
      <c r="L120" s="339">
        <v>43310</v>
      </c>
      <c r="M120" s="340">
        <v>43329</v>
      </c>
      <c r="N120" s="317" t="s">
        <v>1738</v>
      </c>
      <c r="O120" s="318" t="s">
        <v>1939</v>
      </c>
      <c r="P120" s="319">
        <v>603448748</v>
      </c>
      <c r="Q120" s="392" t="s">
        <v>1940</v>
      </c>
      <c r="R120" s="308" t="s">
        <v>1941</v>
      </c>
      <c r="S120" s="276">
        <v>0</v>
      </c>
      <c r="T120" s="323"/>
      <c r="U120" s="323"/>
      <c r="V120" s="321"/>
      <c r="W120" s="321"/>
      <c r="X120" s="321"/>
      <c r="Y120" s="321"/>
      <c r="Z120" s="321"/>
      <c r="AA120" s="321"/>
      <c r="AB120" s="321"/>
      <c r="AC120" s="321"/>
      <c r="AD120" s="322"/>
      <c r="AE120" s="382"/>
      <c r="AF120" s="382"/>
      <c r="AG120" s="325">
        <f t="shared" si="20"/>
        <v>0</v>
      </c>
      <c r="AH120" s="323">
        <v>4</v>
      </c>
      <c r="AI120" s="201"/>
      <c r="AJ120" s="201"/>
      <c r="AK120" s="201"/>
      <c r="AL120" s="201">
        <v>16</v>
      </c>
      <c r="AM120" s="327">
        <f t="shared" si="14"/>
        <v>16</v>
      </c>
      <c r="AN120" s="336">
        <v>5</v>
      </c>
      <c r="AO120" s="329">
        <f t="shared" si="21"/>
        <v>16</v>
      </c>
      <c r="AP120" s="329">
        <f t="shared" si="22"/>
        <v>9</v>
      </c>
      <c r="AQ120" s="331">
        <f t="shared" si="15"/>
        <v>0</v>
      </c>
      <c r="AR120" s="330">
        <f t="shared" si="16"/>
        <v>3.2</v>
      </c>
      <c r="AS120" s="332">
        <f t="shared" si="17"/>
        <v>1.7777777777777777</v>
      </c>
      <c r="AT120" s="379"/>
      <c r="AU120">
        <f t="shared" si="13"/>
        <v>16</v>
      </c>
    </row>
  </sheetData>
  <conditionalFormatting sqref="C3:E22 E37:F39 D23:E36 G47:S49 E47:E49 D50:S58 G59:S77 D59:F78 E41:E45 G37:I45 K37:S45 D37:D49 F41:F49 C23:C78 F3:S36">
    <cfRule type="expression" dxfId="85" priority="86">
      <formula>$A$2</formula>
    </cfRule>
  </conditionalFormatting>
  <conditionalFormatting sqref="A3:E22 E37:F39 D23:E36 G47:S49 E47:E49 D50:S58 G59:S77 D59:F78 E41:E45 G37:I45 K37:S45 D37:D49 F41:F49 A23:C78 B79:B83 B114 F3:S36">
    <cfRule type="cellIs" dxfId="84" priority="85" operator="equal">
      <formula>0</formula>
    </cfRule>
  </conditionalFormatting>
  <conditionalFormatting sqref="E46">
    <cfRule type="expression" dxfId="83" priority="80">
      <formula>$A$2</formula>
    </cfRule>
  </conditionalFormatting>
  <conditionalFormatting sqref="E46">
    <cfRule type="cellIs" dxfId="82" priority="79" operator="equal">
      <formula>0</formula>
    </cfRule>
  </conditionalFormatting>
  <conditionalFormatting sqref="J45">
    <cfRule type="expression" dxfId="81" priority="82">
      <formula>$A$2</formula>
    </cfRule>
  </conditionalFormatting>
  <conditionalFormatting sqref="J45">
    <cfRule type="cellIs" dxfId="80" priority="81" operator="equal">
      <formula>0</formula>
    </cfRule>
  </conditionalFormatting>
  <conditionalFormatting sqref="G46:S46 F40">
    <cfRule type="expression" dxfId="79" priority="84">
      <formula>$A$2</formula>
    </cfRule>
  </conditionalFormatting>
  <conditionalFormatting sqref="G46:S46 F40">
    <cfRule type="cellIs" dxfId="78" priority="83" operator="equal">
      <formula>0</formula>
    </cfRule>
  </conditionalFormatting>
  <conditionalFormatting sqref="G78:I78 K78:S78">
    <cfRule type="expression" dxfId="77" priority="78">
      <formula>$A$2</formula>
    </cfRule>
  </conditionalFormatting>
  <conditionalFormatting sqref="G78:I78 K78:S78">
    <cfRule type="cellIs" dxfId="76" priority="77" operator="equal">
      <formula>0</formula>
    </cfRule>
  </conditionalFormatting>
  <conditionalFormatting sqref="E40">
    <cfRule type="expression" dxfId="75" priority="76">
      <formula>$A$2</formula>
    </cfRule>
  </conditionalFormatting>
  <conditionalFormatting sqref="E40">
    <cfRule type="cellIs" dxfId="74" priority="75" operator="equal">
      <formula>0</formula>
    </cfRule>
  </conditionalFormatting>
  <conditionalFormatting sqref="C120:E120 G120:I120 C79:S81 S82:S93 S103:S104 S107 C82:J119 L109:N120 L107:N107 L108:S108 L103:N104 L105:S106 L102:S102 L82:N93 L94:S94 L95:N101 S109:S120 S95:S101">
    <cfRule type="expression" dxfId="73" priority="74">
      <formula>$A$2</formula>
    </cfRule>
  </conditionalFormatting>
  <conditionalFormatting sqref="A120:E120 G120:I120 A79:A83 C79:S81 A114 C114:J114 S82:S93 S103:S104 S107 A84:J113 A115:J119 C82:J83 L107:N107 L108:S108 L103:N104 L105:S106 L102:S102 L82:N93 L109:N120 L94:S94 L95:N101 S109:S120 S95:S101">
    <cfRule type="cellIs" dxfId="72" priority="73" operator="equal">
      <formula>0</formula>
    </cfRule>
  </conditionalFormatting>
  <conditionalFormatting sqref="O82:R82">
    <cfRule type="expression" dxfId="71" priority="72">
      <formula>$A$2</formula>
    </cfRule>
  </conditionalFormatting>
  <conditionalFormatting sqref="O82:R82">
    <cfRule type="cellIs" dxfId="70" priority="71" operator="equal">
      <formula>0</formula>
    </cfRule>
  </conditionalFormatting>
  <conditionalFormatting sqref="O83:R83">
    <cfRule type="expression" dxfId="69" priority="70">
      <formula>$A$2</formula>
    </cfRule>
  </conditionalFormatting>
  <conditionalFormatting sqref="O83:R83">
    <cfRule type="cellIs" dxfId="68" priority="69" operator="equal">
      <formula>0</formula>
    </cfRule>
  </conditionalFormatting>
  <conditionalFormatting sqref="O84:R84">
    <cfRule type="expression" dxfId="67" priority="68">
      <formula>$A$2</formula>
    </cfRule>
  </conditionalFormatting>
  <conditionalFormatting sqref="O84:R84">
    <cfRule type="cellIs" dxfId="66" priority="67" operator="equal">
      <formula>0</formula>
    </cfRule>
  </conditionalFormatting>
  <conditionalFormatting sqref="O85:R85">
    <cfRule type="expression" dxfId="65" priority="66">
      <formula>$A$2</formula>
    </cfRule>
  </conditionalFormatting>
  <conditionalFormatting sqref="O85:R85">
    <cfRule type="cellIs" dxfId="64" priority="65" operator="equal">
      <formula>0</formula>
    </cfRule>
  </conditionalFormatting>
  <conditionalFormatting sqref="O86:R86">
    <cfRule type="expression" dxfId="63" priority="64">
      <formula>$A$2</formula>
    </cfRule>
  </conditionalFormatting>
  <conditionalFormatting sqref="O86:R86">
    <cfRule type="cellIs" dxfId="62" priority="63" operator="equal">
      <formula>0</formula>
    </cfRule>
  </conditionalFormatting>
  <conditionalFormatting sqref="O87:R87">
    <cfRule type="expression" dxfId="61" priority="62">
      <formula>$A$2</formula>
    </cfRule>
  </conditionalFormatting>
  <conditionalFormatting sqref="O87:R87">
    <cfRule type="cellIs" dxfId="60" priority="61" operator="equal">
      <formula>0</formula>
    </cfRule>
  </conditionalFormatting>
  <conditionalFormatting sqref="O88:R88">
    <cfRule type="expression" dxfId="59" priority="60">
      <formula>$A$2</formula>
    </cfRule>
  </conditionalFormatting>
  <conditionalFormatting sqref="O88:R88">
    <cfRule type="cellIs" dxfId="58" priority="59" operator="equal">
      <formula>0</formula>
    </cfRule>
  </conditionalFormatting>
  <conditionalFormatting sqref="O89:R89">
    <cfRule type="expression" dxfId="57" priority="58">
      <formula>$A$2</formula>
    </cfRule>
  </conditionalFormatting>
  <conditionalFormatting sqref="O89:R89">
    <cfRule type="cellIs" dxfId="56" priority="57" operator="equal">
      <formula>0</formula>
    </cfRule>
  </conditionalFormatting>
  <conditionalFormatting sqref="O90:R90">
    <cfRule type="expression" dxfId="55" priority="56">
      <formula>$A$2</formula>
    </cfRule>
  </conditionalFormatting>
  <conditionalFormatting sqref="O90:R90">
    <cfRule type="cellIs" dxfId="54" priority="55" operator="equal">
      <formula>0</formula>
    </cfRule>
  </conditionalFormatting>
  <conditionalFormatting sqref="O91:R91">
    <cfRule type="expression" dxfId="53" priority="54">
      <formula>$A$2</formula>
    </cfRule>
  </conditionalFormatting>
  <conditionalFormatting sqref="O91:R91">
    <cfRule type="cellIs" dxfId="52" priority="53" operator="equal">
      <formula>0</formula>
    </cfRule>
  </conditionalFormatting>
  <conditionalFormatting sqref="O92:R92">
    <cfRule type="expression" dxfId="51" priority="52">
      <formula>$A$2</formula>
    </cfRule>
  </conditionalFormatting>
  <conditionalFormatting sqref="O92:R92">
    <cfRule type="cellIs" dxfId="50" priority="51" operator="equal">
      <formula>0</formula>
    </cfRule>
  </conditionalFormatting>
  <conditionalFormatting sqref="O93:R93">
    <cfRule type="expression" dxfId="49" priority="50">
      <formula>$A$2</formula>
    </cfRule>
  </conditionalFormatting>
  <conditionalFormatting sqref="O93:R93">
    <cfRule type="cellIs" dxfId="48" priority="49" operator="equal">
      <formula>0</formula>
    </cfRule>
  </conditionalFormatting>
  <conditionalFormatting sqref="O95:R95">
    <cfRule type="expression" dxfId="47" priority="48">
      <formula>$A$2</formula>
    </cfRule>
  </conditionalFormatting>
  <conditionalFormatting sqref="O95:R95">
    <cfRule type="cellIs" dxfId="46" priority="47" operator="equal">
      <formula>0</formula>
    </cfRule>
  </conditionalFormatting>
  <conditionalFormatting sqref="O96:R97">
    <cfRule type="expression" dxfId="45" priority="46">
      <formula>$A$2</formula>
    </cfRule>
  </conditionalFormatting>
  <conditionalFormatting sqref="O96:R97">
    <cfRule type="cellIs" dxfId="44" priority="45" operator="equal">
      <formula>0</formula>
    </cfRule>
  </conditionalFormatting>
  <conditionalFormatting sqref="O99:R99">
    <cfRule type="expression" dxfId="43" priority="44">
      <formula>$A$2</formula>
    </cfRule>
  </conditionalFormatting>
  <conditionalFormatting sqref="O99:R99">
    <cfRule type="cellIs" dxfId="42" priority="43" operator="equal">
      <formula>0</formula>
    </cfRule>
  </conditionalFormatting>
  <conditionalFormatting sqref="O100:R100">
    <cfRule type="expression" dxfId="41" priority="42">
      <formula>$A$2</formula>
    </cfRule>
  </conditionalFormatting>
  <conditionalFormatting sqref="O100:R100">
    <cfRule type="cellIs" dxfId="40" priority="41" operator="equal">
      <formula>0</formula>
    </cfRule>
  </conditionalFormatting>
  <conditionalFormatting sqref="O103:R103">
    <cfRule type="expression" dxfId="39" priority="40">
      <formula>$A$2</formula>
    </cfRule>
  </conditionalFormatting>
  <conditionalFormatting sqref="O103:R103">
    <cfRule type="cellIs" dxfId="38" priority="39" operator="equal">
      <formula>0</formula>
    </cfRule>
  </conditionalFormatting>
  <conditionalFormatting sqref="O104:R104">
    <cfRule type="expression" dxfId="37" priority="38">
      <formula>$A$2</formula>
    </cfRule>
  </conditionalFormatting>
  <conditionalFormatting sqref="O104:R104">
    <cfRule type="cellIs" dxfId="36" priority="37" operator="equal">
      <formula>0</formula>
    </cfRule>
  </conditionalFormatting>
  <conditionalFormatting sqref="O107:R107">
    <cfRule type="expression" dxfId="35" priority="36">
      <formula>$A$2</formula>
    </cfRule>
  </conditionalFormatting>
  <conditionalFormatting sqref="O107:R107">
    <cfRule type="cellIs" dxfId="34" priority="35" operator="equal">
      <formula>0</formula>
    </cfRule>
  </conditionalFormatting>
  <conditionalFormatting sqref="O109:R109">
    <cfRule type="expression" dxfId="33" priority="34">
      <formula>$A$2</formula>
    </cfRule>
  </conditionalFormatting>
  <conditionalFormatting sqref="O109:R109">
    <cfRule type="cellIs" dxfId="32" priority="33" operator="equal">
      <formula>0</formula>
    </cfRule>
  </conditionalFormatting>
  <conditionalFormatting sqref="O112:R112">
    <cfRule type="expression" dxfId="31" priority="32">
      <formula>$A$2</formula>
    </cfRule>
  </conditionalFormatting>
  <conditionalFormatting sqref="O112:R112">
    <cfRule type="cellIs" dxfId="30" priority="31" operator="equal">
      <formula>0</formula>
    </cfRule>
  </conditionalFormatting>
  <conditionalFormatting sqref="O113:R113">
    <cfRule type="expression" dxfId="29" priority="30">
      <formula>$A$2</formula>
    </cfRule>
  </conditionalFormatting>
  <conditionalFormatting sqref="O113:R113">
    <cfRule type="cellIs" dxfId="28" priority="29" operator="equal">
      <formula>0</formula>
    </cfRule>
  </conditionalFormatting>
  <conditionalFormatting sqref="O114:R114">
    <cfRule type="expression" dxfId="27" priority="28">
      <formula>$A$2</formula>
    </cfRule>
  </conditionalFormatting>
  <conditionalFormatting sqref="O114:R114">
    <cfRule type="cellIs" dxfId="26" priority="27" operator="equal">
      <formula>0</formula>
    </cfRule>
  </conditionalFormatting>
  <conditionalFormatting sqref="O115:R115">
    <cfRule type="expression" dxfId="25" priority="26">
      <formula>$A$2</formula>
    </cfRule>
  </conditionalFormatting>
  <conditionalFormatting sqref="O115:R115">
    <cfRule type="cellIs" dxfId="24" priority="25" operator="equal">
      <formula>0</formula>
    </cfRule>
  </conditionalFormatting>
  <conditionalFormatting sqref="O116:R116">
    <cfRule type="expression" dxfId="23" priority="24">
      <formula>$A$2</formula>
    </cfRule>
  </conditionalFormatting>
  <conditionalFormatting sqref="O116:R116">
    <cfRule type="cellIs" dxfId="22" priority="23" operator="equal">
      <formula>0</formula>
    </cfRule>
  </conditionalFormatting>
  <conditionalFormatting sqref="O117:R117">
    <cfRule type="expression" dxfId="21" priority="22">
      <formula>$A$2</formula>
    </cfRule>
  </conditionalFormatting>
  <conditionalFormatting sqref="O117:R117">
    <cfRule type="cellIs" dxfId="20" priority="21" operator="equal">
      <formula>0</formula>
    </cfRule>
  </conditionalFormatting>
  <conditionalFormatting sqref="O118:R118">
    <cfRule type="expression" dxfId="19" priority="20">
      <formula>$A$2</formula>
    </cfRule>
  </conditionalFormatting>
  <conditionalFormatting sqref="O118:R118">
    <cfRule type="cellIs" dxfId="18" priority="19" operator="equal">
      <formula>0</formula>
    </cfRule>
  </conditionalFormatting>
  <conditionalFormatting sqref="O119:R119">
    <cfRule type="expression" dxfId="17" priority="18">
      <formula>$A$2</formula>
    </cfRule>
  </conditionalFormatting>
  <conditionalFormatting sqref="O119:R119">
    <cfRule type="cellIs" dxfId="16" priority="17" operator="equal">
      <formula>0</formula>
    </cfRule>
  </conditionalFormatting>
  <conditionalFormatting sqref="O120:R120">
    <cfRule type="expression" dxfId="15" priority="16">
      <formula>$A$2</formula>
    </cfRule>
  </conditionalFormatting>
  <conditionalFormatting sqref="O120:R120">
    <cfRule type="cellIs" dxfId="14" priority="15" operator="equal">
      <formula>0</formula>
    </cfRule>
  </conditionalFormatting>
  <conditionalFormatting sqref="K82">
    <cfRule type="expression" dxfId="13" priority="14">
      <formula>$A$2</formula>
    </cfRule>
  </conditionalFormatting>
  <conditionalFormatting sqref="K82">
    <cfRule type="cellIs" dxfId="12" priority="13" operator="equal">
      <formula>0</formula>
    </cfRule>
  </conditionalFormatting>
  <conditionalFormatting sqref="K83">
    <cfRule type="expression" dxfId="11" priority="12">
      <formula>$A$2</formula>
    </cfRule>
  </conditionalFormatting>
  <conditionalFormatting sqref="K83">
    <cfRule type="cellIs" dxfId="10" priority="11" operator="equal">
      <formula>0</formula>
    </cfRule>
  </conditionalFormatting>
  <conditionalFormatting sqref="K84:K120">
    <cfRule type="expression" dxfId="9" priority="10">
      <formula>$A$2</formula>
    </cfRule>
  </conditionalFormatting>
  <conditionalFormatting sqref="K84:K120">
    <cfRule type="cellIs" dxfId="8" priority="9" operator="equal">
      <formula>0</formula>
    </cfRule>
  </conditionalFormatting>
  <conditionalFormatting sqref="O101">
    <cfRule type="expression" dxfId="7" priority="8">
      <formula>$A$2</formula>
    </cfRule>
  </conditionalFormatting>
  <conditionalFormatting sqref="O101">
    <cfRule type="cellIs" dxfId="6" priority="7" operator="equal">
      <formula>0</formula>
    </cfRule>
  </conditionalFormatting>
  <conditionalFormatting sqref="P101:R101">
    <cfRule type="expression" dxfId="5" priority="6">
      <formula>$A$2</formula>
    </cfRule>
  </conditionalFormatting>
  <conditionalFormatting sqref="P101:R101">
    <cfRule type="cellIs" dxfId="4" priority="5" operator="equal">
      <formula>0</formula>
    </cfRule>
  </conditionalFormatting>
  <conditionalFormatting sqref="O110:R111">
    <cfRule type="expression" dxfId="3" priority="4">
      <formula>$A$2</formula>
    </cfRule>
  </conditionalFormatting>
  <conditionalFormatting sqref="O110:R111">
    <cfRule type="cellIs" dxfId="2" priority="3" operator="equal">
      <formula>0</formula>
    </cfRule>
  </conditionalFormatting>
  <conditionalFormatting sqref="O98:R98">
    <cfRule type="expression" dxfId="1" priority="2">
      <formula>$A$2</formula>
    </cfRule>
  </conditionalFormatting>
  <conditionalFormatting sqref="O98:R98">
    <cfRule type="cellIs" dxfId="0" priority="1" operator="equal">
      <formula>0</formula>
    </cfRule>
  </conditionalFormatting>
  <hyperlinks>
    <hyperlink ref="Q82" r:id="rId1" xr:uid="{D4A70F45-2000-4873-AA05-D3393049FE3E}"/>
    <hyperlink ref="Q83" r:id="rId2" xr:uid="{FE7ACE61-C9C3-4163-AE23-59536E80FBD6}"/>
    <hyperlink ref="Q84" r:id="rId3" xr:uid="{F130B47B-A7E7-484B-8BED-40E0D9F8430B}"/>
    <hyperlink ref="Q85" r:id="rId4" xr:uid="{140CEB28-6271-49D1-8839-0F9C9EAF4E7A}"/>
    <hyperlink ref="Q86" r:id="rId5" xr:uid="{79198F90-25AD-45CD-B22A-879490C26CC6}"/>
    <hyperlink ref="Q87" r:id="rId6" xr:uid="{96253253-4B7B-4874-9C49-C3522F55EC9E}"/>
    <hyperlink ref="Q88" r:id="rId7" xr:uid="{296F2068-372C-4761-BC08-A668DDD3A186}"/>
    <hyperlink ref="Q89" r:id="rId8" xr:uid="{233028CF-85C9-496E-8B94-F56B3433B451}"/>
    <hyperlink ref="Q90" r:id="rId9" xr:uid="{30841CA0-137F-4AAD-B5FF-E3914B61CCF2}"/>
    <hyperlink ref="Q91" r:id="rId10" xr:uid="{AFA2BF32-9946-4103-9846-F5FE2C4D5EAB}"/>
    <hyperlink ref="Q92" r:id="rId11" xr:uid="{BF755A0C-05E9-46BD-A5B1-5076F96AAC98}"/>
    <hyperlink ref="Q93" r:id="rId12" xr:uid="{2B46506C-651B-473B-AE8B-902EE3CF649B}"/>
    <hyperlink ref="Q95" r:id="rId13" xr:uid="{0A7F3D0B-BD52-40F6-96C6-58299C450E5A}"/>
    <hyperlink ref="Q96" r:id="rId14" xr:uid="{71767799-E337-4295-A7C4-2E4FD1D08AA3}"/>
    <hyperlink ref="Q97" r:id="rId15" xr:uid="{A30DADE9-18CD-42D7-82CB-0C6BE07DDEF8}"/>
    <hyperlink ref="Q99" r:id="rId16" xr:uid="{0546BDA4-1785-4A0C-B8ED-4B0452A64805}"/>
    <hyperlink ref="Q100" r:id="rId17" xr:uid="{5F757B11-EB8D-4380-B66F-CDE0237F84AE}"/>
    <hyperlink ref="Q103" r:id="rId18" xr:uid="{A0C4B409-3C5F-49F2-A286-E0504113622D}"/>
    <hyperlink ref="Q104" r:id="rId19" xr:uid="{0018473E-FE13-4945-B2DB-49BC1256CEE5}"/>
    <hyperlink ref="Q107" r:id="rId20" xr:uid="{F5D5CCA8-DC39-4980-8626-C3157653A50A}"/>
    <hyperlink ref="Q109" r:id="rId21" xr:uid="{0A8A5409-254F-47A2-B3DB-F13BADAFE192}"/>
    <hyperlink ref="Q112" r:id="rId22" xr:uid="{F9E762CA-3B45-4D60-AA0B-3EEB4848171A}"/>
    <hyperlink ref="Q113" r:id="rId23" xr:uid="{AED56554-6DB4-4509-9C76-1271FD942EED}"/>
    <hyperlink ref="Q114" r:id="rId24" xr:uid="{CF171796-C97D-446F-847E-587A802567BC}"/>
    <hyperlink ref="Q115" r:id="rId25" xr:uid="{8E7076A2-7346-468F-B7CB-F01B87585466}"/>
    <hyperlink ref="Q116" r:id="rId26" xr:uid="{EAC76E7B-A5E3-42E3-BD4E-AC98D2577D70}"/>
    <hyperlink ref="Q117" r:id="rId27" xr:uid="{5EE1CCFD-8FB1-4E23-8163-F18B8D4FF9AF}"/>
    <hyperlink ref="Q118" r:id="rId28" xr:uid="{E36B3D36-F688-4B0F-96E3-00601AE9B0E2}"/>
    <hyperlink ref="Q119" r:id="rId29" xr:uid="{7A72FDD5-5CF8-4068-AAF2-E6A213145D52}"/>
    <hyperlink ref="Q120" r:id="rId30" xr:uid="{767D6432-BDE1-4F41-99F5-44A055FB0C8E}"/>
    <hyperlink ref="Q101" r:id="rId31" xr:uid="{B108B110-D6DB-4374-A30F-50AA300B1C85}"/>
    <hyperlink ref="Q110" r:id="rId32" xr:uid="{D8A608D0-D883-4942-8076-6051EEA283D7}"/>
    <hyperlink ref="Q98" r:id="rId33" xr:uid="{CB95C5CE-3620-4C05-A285-9BB5579A9E4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4"/>
  <sheetViews>
    <sheetView workbookViewId="0">
      <selection activeCell="C34" sqref="A2:C34"/>
    </sheetView>
  </sheetViews>
  <sheetFormatPr baseColWidth="10" defaultRowHeight="14.5" x14ac:dyDescent="0.35"/>
  <cols>
    <col min="1" max="1" width="13.90625" style="211" customWidth="1"/>
    <col min="2" max="2" width="24.36328125" style="211" customWidth="1"/>
  </cols>
  <sheetData>
    <row r="1" spans="1:3" x14ac:dyDescent="0.35">
      <c r="A1" s="211" t="s">
        <v>922</v>
      </c>
    </row>
    <row r="2" spans="1:3" x14ac:dyDescent="0.35">
      <c r="A2" s="211" t="s">
        <v>1952</v>
      </c>
      <c r="B2" s="211" t="s">
        <v>1951</v>
      </c>
      <c r="C2" t="s">
        <v>1249</v>
      </c>
    </row>
    <row r="3" spans="1:3" x14ac:dyDescent="0.35">
      <c r="A3" s="245" t="s">
        <v>905</v>
      </c>
      <c r="B3" s="245" t="s">
        <v>926</v>
      </c>
      <c r="C3" s="208" t="s">
        <v>885</v>
      </c>
    </row>
    <row r="4" spans="1:3" x14ac:dyDescent="0.35">
      <c r="A4" s="245" t="s">
        <v>906</v>
      </c>
      <c r="B4" s="245" t="s">
        <v>927</v>
      </c>
      <c r="C4" s="208" t="s">
        <v>885</v>
      </c>
    </row>
    <row r="5" spans="1:3" x14ac:dyDescent="0.35">
      <c r="A5" s="245" t="s">
        <v>907</v>
      </c>
      <c r="B5" s="245" t="s">
        <v>928</v>
      </c>
      <c r="C5" s="208" t="s">
        <v>885</v>
      </c>
    </row>
    <row r="6" spans="1:3" x14ac:dyDescent="0.35">
      <c r="A6" s="245" t="s">
        <v>903</v>
      </c>
      <c r="B6" s="245" t="s">
        <v>929</v>
      </c>
      <c r="C6" s="208" t="s">
        <v>885</v>
      </c>
    </row>
    <row r="7" spans="1:3" x14ac:dyDescent="0.35">
      <c r="A7" s="245" t="s">
        <v>904</v>
      </c>
      <c r="B7" s="245" t="s">
        <v>623</v>
      </c>
      <c r="C7" s="208" t="s">
        <v>885</v>
      </c>
    </row>
    <row r="8" spans="1:3" x14ac:dyDescent="0.35">
      <c r="A8" s="245">
        <v>10029</v>
      </c>
      <c r="B8" s="245" t="s">
        <v>930</v>
      </c>
      <c r="C8" s="208" t="s">
        <v>885</v>
      </c>
    </row>
    <row r="9" spans="1:3" x14ac:dyDescent="0.35">
      <c r="A9" s="245" t="s">
        <v>902</v>
      </c>
      <c r="B9" s="245" t="s">
        <v>134</v>
      </c>
      <c r="C9" s="208" t="s">
        <v>885</v>
      </c>
    </row>
    <row r="10" spans="1:3" x14ac:dyDescent="0.35">
      <c r="A10" s="245">
        <v>13001</v>
      </c>
      <c r="B10" s="245" t="s">
        <v>931</v>
      </c>
      <c r="C10" s="208" t="s">
        <v>885</v>
      </c>
    </row>
    <row r="11" spans="1:3" x14ac:dyDescent="0.35">
      <c r="A11" s="245">
        <v>17140</v>
      </c>
      <c r="B11" s="245" t="s">
        <v>932</v>
      </c>
      <c r="C11" s="208" t="s">
        <v>885</v>
      </c>
    </row>
    <row r="12" spans="1:3" x14ac:dyDescent="0.35">
      <c r="A12" s="245">
        <v>21017</v>
      </c>
      <c r="B12" s="245" t="s">
        <v>547</v>
      </c>
      <c r="C12" s="208" t="s">
        <v>885</v>
      </c>
    </row>
    <row r="13" spans="1:3" x14ac:dyDescent="0.35">
      <c r="A13" s="245">
        <v>24183</v>
      </c>
      <c r="B13" s="245" t="s">
        <v>933</v>
      </c>
      <c r="C13" s="208" t="s">
        <v>885</v>
      </c>
    </row>
    <row r="14" spans="1:3" x14ac:dyDescent="0.35">
      <c r="A14" s="245" t="s">
        <v>918</v>
      </c>
      <c r="B14" s="245" t="s">
        <v>934</v>
      </c>
      <c r="C14" s="208" t="s">
        <v>885</v>
      </c>
    </row>
    <row r="15" spans="1:3" x14ac:dyDescent="0.35">
      <c r="A15" s="245">
        <v>35334</v>
      </c>
      <c r="B15" s="245" t="s">
        <v>935</v>
      </c>
      <c r="C15" s="208" t="s">
        <v>885</v>
      </c>
    </row>
    <row r="16" spans="1:3" x14ac:dyDescent="0.35">
      <c r="A16" s="245">
        <v>37132</v>
      </c>
      <c r="B16" s="245" t="s">
        <v>936</v>
      </c>
      <c r="C16" s="208" t="s">
        <v>885</v>
      </c>
    </row>
    <row r="17" spans="1:3" x14ac:dyDescent="0.35">
      <c r="A17" s="245">
        <v>42039</v>
      </c>
      <c r="B17" s="245" t="s">
        <v>652</v>
      </c>
      <c r="C17" s="208" t="s">
        <v>885</v>
      </c>
    </row>
    <row r="18" spans="1:3" x14ac:dyDescent="0.35">
      <c r="A18" s="245">
        <v>42292</v>
      </c>
      <c r="B18" s="245" t="s">
        <v>937</v>
      </c>
      <c r="C18" s="208" t="s">
        <v>885</v>
      </c>
    </row>
    <row r="19" spans="1:3" x14ac:dyDescent="0.35">
      <c r="A19" s="245">
        <v>48132</v>
      </c>
      <c r="B19" s="245" t="s">
        <v>938</v>
      </c>
      <c r="C19" s="208" t="s">
        <v>885</v>
      </c>
    </row>
    <row r="20" spans="1:3" x14ac:dyDescent="0.35">
      <c r="A20" s="245">
        <v>56162</v>
      </c>
      <c r="B20" s="245" t="s">
        <v>939</v>
      </c>
      <c r="C20" s="208" t="s">
        <v>885</v>
      </c>
    </row>
    <row r="21" spans="1:3" x14ac:dyDescent="0.35">
      <c r="A21" s="245" t="s">
        <v>909</v>
      </c>
      <c r="B21" s="245" t="s">
        <v>940</v>
      </c>
      <c r="C21" s="208" t="s">
        <v>885</v>
      </c>
    </row>
    <row r="22" spans="1:3" x14ac:dyDescent="0.35">
      <c r="A22" s="245">
        <v>65078</v>
      </c>
      <c r="B22" s="245" t="s">
        <v>941</v>
      </c>
      <c r="C22" s="208" t="s">
        <v>885</v>
      </c>
    </row>
    <row r="23" spans="1:3" x14ac:dyDescent="0.35">
      <c r="A23" s="245">
        <v>67191</v>
      </c>
      <c r="B23" s="245" t="s">
        <v>679</v>
      </c>
      <c r="C23" s="208" t="s">
        <v>885</v>
      </c>
    </row>
    <row r="24" spans="1:3" x14ac:dyDescent="0.35">
      <c r="A24" s="245">
        <v>69164</v>
      </c>
      <c r="B24" s="245" t="s">
        <v>734</v>
      </c>
      <c r="C24" s="208" t="s">
        <v>885</v>
      </c>
    </row>
    <row r="25" spans="1:3" x14ac:dyDescent="0.35">
      <c r="A25" s="245">
        <v>81201</v>
      </c>
      <c r="B25" s="245" t="s">
        <v>942</v>
      </c>
      <c r="C25" s="208" t="s">
        <v>885</v>
      </c>
    </row>
    <row r="26" spans="1:3" x14ac:dyDescent="0.35">
      <c r="A26" s="245">
        <v>84110</v>
      </c>
      <c r="B26" s="245" t="s">
        <v>943</v>
      </c>
      <c r="C26" s="208" t="s">
        <v>885</v>
      </c>
    </row>
    <row r="27" spans="1:3" x14ac:dyDescent="0.35">
      <c r="A27" s="245" t="s">
        <v>908</v>
      </c>
      <c r="B27" s="245" t="s">
        <v>944</v>
      </c>
      <c r="C27" s="208" t="s">
        <v>885</v>
      </c>
    </row>
    <row r="28" spans="1:3" x14ac:dyDescent="0.35">
      <c r="A28" s="245">
        <v>86024</v>
      </c>
      <c r="B28" s="245" t="s">
        <v>945</v>
      </c>
      <c r="C28" s="208" t="s">
        <v>885</v>
      </c>
    </row>
    <row r="29" spans="1:3" x14ac:dyDescent="0.35">
      <c r="A29" s="245">
        <v>86203</v>
      </c>
      <c r="B29" s="245" t="s">
        <v>98</v>
      </c>
      <c r="C29" s="208" t="s">
        <v>885</v>
      </c>
    </row>
    <row r="30" spans="1:3" x14ac:dyDescent="0.35">
      <c r="A30" s="245" t="s">
        <v>923</v>
      </c>
      <c r="B30" s="245" t="s">
        <v>149</v>
      </c>
      <c r="C30" s="208" t="s">
        <v>881</v>
      </c>
    </row>
    <row r="31" spans="1:3" x14ac:dyDescent="0.35">
      <c r="A31" s="245" t="s">
        <v>924</v>
      </c>
      <c r="B31" s="245" t="s">
        <v>946</v>
      </c>
      <c r="C31" s="208" t="s">
        <v>881</v>
      </c>
    </row>
    <row r="32" spans="1:3" x14ac:dyDescent="0.35">
      <c r="A32" s="245" t="s">
        <v>925</v>
      </c>
      <c r="B32" s="245" t="s">
        <v>947</v>
      </c>
      <c r="C32" s="208" t="s">
        <v>881</v>
      </c>
    </row>
    <row r="33" spans="1:3" x14ac:dyDescent="0.35">
      <c r="A33" s="245" t="s">
        <v>1201</v>
      </c>
      <c r="B33" s="245" t="s">
        <v>1202</v>
      </c>
      <c r="C33" s="208" t="s">
        <v>881</v>
      </c>
    </row>
    <row r="34" spans="1:3" x14ac:dyDescent="0.35">
      <c r="A34" s="245" t="s">
        <v>1203</v>
      </c>
      <c r="B34" s="245" t="s">
        <v>416</v>
      </c>
      <c r="C34" s="208" t="s">
        <v>881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100"/>
  <sheetViews>
    <sheetView topLeftCell="B1" workbookViewId="0">
      <selection activeCell="E2" sqref="E2:E100"/>
    </sheetView>
  </sheetViews>
  <sheetFormatPr baseColWidth="10" defaultRowHeight="14.5" x14ac:dyDescent="0.35"/>
  <cols>
    <col min="1" max="1" width="19" customWidth="1"/>
    <col min="2" max="2" width="15.54296875" customWidth="1"/>
    <col min="3" max="3" width="10.26953125" customWidth="1"/>
    <col min="4" max="4" width="46.453125" customWidth="1"/>
    <col min="5" max="6" width="16.26953125" style="209" customWidth="1"/>
    <col min="7" max="7" width="6.1796875" customWidth="1"/>
    <col min="8" max="8" width="6.81640625" customWidth="1"/>
    <col min="9" max="9" width="6.1796875" customWidth="1"/>
    <col min="10" max="10" width="7.1796875" style="209" customWidth="1"/>
    <col min="11" max="11" width="7.90625" customWidth="1"/>
    <col min="12" max="12" width="9.26953125" customWidth="1"/>
    <col min="13" max="13" width="6.1796875" customWidth="1"/>
    <col min="14" max="14" width="7.36328125" customWidth="1"/>
    <col min="15" max="15" width="9.1796875" customWidth="1"/>
    <col min="16" max="16" width="7.08984375" customWidth="1"/>
    <col min="17" max="17" width="5.6328125" customWidth="1"/>
    <col min="18" max="18" width="8.54296875" customWidth="1"/>
    <col min="19" max="20" width="9.36328125" customWidth="1"/>
  </cols>
  <sheetData>
    <row r="1" spans="2:18" x14ac:dyDescent="0.35">
      <c r="B1" s="201"/>
      <c r="C1" s="201" t="s">
        <v>894</v>
      </c>
      <c r="E1" s="208" t="s">
        <v>896</v>
      </c>
      <c r="F1" s="208" t="s">
        <v>897</v>
      </c>
      <c r="G1" s="201" t="s">
        <v>881</v>
      </c>
      <c r="H1" s="201" t="s">
        <v>892</v>
      </c>
      <c r="I1" s="201" t="s">
        <v>893</v>
      </c>
      <c r="J1" s="208" t="s">
        <v>885</v>
      </c>
      <c r="K1" s="201" t="s">
        <v>888</v>
      </c>
      <c r="L1" s="201" t="s">
        <v>882</v>
      </c>
      <c r="M1" s="201" t="s">
        <v>883</v>
      </c>
      <c r="N1" s="201" t="s">
        <v>890</v>
      </c>
      <c r="O1" s="201" t="s">
        <v>889</v>
      </c>
      <c r="P1" s="201" t="s">
        <v>886</v>
      </c>
      <c r="Q1" s="201" t="s">
        <v>887</v>
      </c>
      <c r="R1" s="201" t="s">
        <v>891</v>
      </c>
    </row>
    <row r="2" spans="2:18" x14ac:dyDescent="0.35">
      <c r="B2" s="201" t="s">
        <v>881</v>
      </c>
      <c r="C2" s="201">
        <f>COUNTIF(CAMPS18!$AK$2:$AK$166,B2)</f>
        <v>17</v>
      </c>
      <c r="E2" s="208">
        <v>1</v>
      </c>
      <c r="F2" s="208">
        <f>SUM(G2:R2)</f>
        <v>1</v>
      </c>
      <c r="G2" s="201">
        <f>COUNTIFS(CAMPS18!$AK$2:$AK$166,G$1,CAMPS18!$AQ$2:$AQ$166,$E2)</f>
        <v>0</v>
      </c>
      <c r="H2" s="201">
        <f>COUNTIFS(CAMPS18!$AK$2:$AK$166,H$1,CAMPS18!$AQ$2:$AQ$166,$E2)</f>
        <v>0</v>
      </c>
      <c r="I2" s="201">
        <f>COUNTIFS(CAMPS18!$AK$2:$AK$166,I$1,CAMPS18!$AQ$2:$AQ$166,$E2)</f>
        <v>0</v>
      </c>
      <c r="J2" s="208">
        <f>COUNTIFS(CAMPS18!$AK$2:$AK$166,J$1,CAMPS18!$AQ$2:$AQ$166,$E2)</f>
        <v>1</v>
      </c>
      <c r="K2" s="201">
        <f>COUNTIFS(CAMPS18!$AK$2:$AK$166,K$1,CAMPS18!$AQ$2:$AQ$166,$E2)</f>
        <v>0</v>
      </c>
      <c r="L2" s="201">
        <f>COUNTIFS(CAMPS18!$AK$2:$AK$166,L$1,CAMPS18!$AQ$2:$AQ$166,$E2)</f>
        <v>0</v>
      </c>
      <c r="M2" s="201">
        <f>COUNTIFS(CAMPS18!$AK$2:$AK$166,M$1,CAMPS18!$AQ$2:$AQ$166,$E2)</f>
        <v>0</v>
      </c>
      <c r="N2" s="201">
        <f>COUNTIFS(CAMPS18!$AK$2:$AK$166,N$1,CAMPS18!$AQ$2:$AQ$166,$E2)</f>
        <v>0</v>
      </c>
      <c r="O2" s="201">
        <f>COUNTIFS(CAMPS18!$AK$2:$AK$166,O$1,CAMPS18!$AQ$2:$AQ$166,$E2)</f>
        <v>0</v>
      </c>
      <c r="P2" s="201">
        <f>COUNTIFS(CAMPS18!$AK$2:$AK$166,P$1,CAMPS18!$AQ$2:$AQ$166,$E2)</f>
        <v>0</v>
      </c>
      <c r="Q2" s="201">
        <f>COUNTIFS(CAMPS18!$AK$2:$AK$166,Q$1,CAMPS18!$AQ$2:$AQ$166,$E2)</f>
        <v>0</v>
      </c>
      <c r="R2" s="201">
        <f>COUNTIFS(CAMPS18!$AK$2:$AK$166,R$1,CAMPS18!$AQ$2:$AQ$166,$E2)</f>
        <v>0</v>
      </c>
    </row>
    <row r="3" spans="2:18" x14ac:dyDescent="0.35">
      <c r="B3" s="201" t="s">
        <v>892</v>
      </c>
      <c r="C3" s="201">
        <f>COUNTIF(CAMPS18!$AK$2:$AK$166,B3)</f>
        <v>6</v>
      </c>
      <c r="E3" s="208">
        <f>E2+1</f>
        <v>2</v>
      </c>
      <c r="F3" s="208">
        <f t="shared" ref="F3:F66" si="0">SUM(G3:R3)</f>
        <v>0</v>
      </c>
      <c r="G3" s="201">
        <f>COUNTIFS(CAMPS18!$AK$2:$AK$166,G$1,CAMPS18!$AQ$2:$AQ$166,$E3)</f>
        <v>0</v>
      </c>
      <c r="H3" s="201">
        <f>COUNTIFS(CAMPS18!$AK$2:$AK$166,H$1,CAMPS18!$AQ$2:$AQ$166,$E3)</f>
        <v>0</v>
      </c>
      <c r="I3" s="201">
        <f>COUNTIFS(CAMPS18!$AK$2:$AK$166,I$1,CAMPS18!$AQ$2:$AQ$166,$E3)</f>
        <v>0</v>
      </c>
      <c r="J3" s="208">
        <f>COUNTIFS(CAMPS18!$AK$2:$AK$166,J$1,CAMPS18!$AQ$2:$AQ$166,$E3)</f>
        <v>0</v>
      </c>
      <c r="K3" s="201">
        <f>COUNTIFS(CAMPS18!$AK$2:$AK$166,K$1,CAMPS18!$AQ$2:$AQ$166,$E3)</f>
        <v>0</v>
      </c>
      <c r="L3" s="201">
        <f>COUNTIFS(CAMPS18!$AK$2:$AK$166,L$1,CAMPS18!$AQ$2:$AQ$166,$E3)</f>
        <v>0</v>
      </c>
      <c r="M3" s="201">
        <f>COUNTIFS(CAMPS18!$AK$2:$AK$166,M$1,CAMPS18!$AQ$2:$AQ$166,$E3)</f>
        <v>0</v>
      </c>
      <c r="N3" s="201">
        <f>COUNTIFS(CAMPS18!$AK$2:$AK$166,N$1,CAMPS18!$AQ$2:$AQ$166,$E3)</f>
        <v>0</v>
      </c>
      <c r="O3" s="201">
        <f>COUNTIFS(CAMPS18!$AK$2:$AK$166,O$1,CAMPS18!$AQ$2:$AQ$166,$E3)</f>
        <v>0</v>
      </c>
      <c r="P3" s="201">
        <f>COUNTIFS(CAMPS18!$AK$2:$AK$166,P$1,CAMPS18!$AQ$2:$AQ$166,$E3)</f>
        <v>0</v>
      </c>
      <c r="Q3" s="201">
        <f>COUNTIFS(CAMPS18!$AK$2:$AK$166,Q$1,CAMPS18!$AQ$2:$AQ$166,$E3)</f>
        <v>0</v>
      </c>
      <c r="R3" s="201">
        <f>COUNTIFS(CAMPS18!$AK$2:$AK$166,R$1,CAMPS18!$AQ$2:$AQ$166,$E3)</f>
        <v>0</v>
      </c>
    </row>
    <row r="4" spans="2:18" x14ac:dyDescent="0.35">
      <c r="B4" s="201" t="s">
        <v>893</v>
      </c>
      <c r="C4" s="201">
        <f>COUNTIF(CAMPS18!$AK$2:$AK$166,B4)</f>
        <v>2</v>
      </c>
      <c r="E4" s="208">
        <f t="shared" ref="E4:E67" si="1">E3+1</f>
        <v>3</v>
      </c>
      <c r="F4" s="208">
        <f t="shared" si="0"/>
        <v>3</v>
      </c>
      <c r="G4" s="201">
        <f>COUNTIFS(CAMPS18!$AK$2:$AK$166,G$1,CAMPS18!$AQ$2:$AQ$166,$E4)</f>
        <v>0</v>
      </c>
      <c r="H4" s="201">
        <f>COUNTIFS(CAMPS18!$AK$2:$AK$166,H$1,CAMPS18!$AQ$2:$AQ$166,$E4)</f>
        <v>0</v>
      </c>
      <c r="I4" s="201">
        <f>COUNTIFS(CAMPS18!$AK$2:$AK$166,I$1,CAMPS18!$AQ$2:$AQ$166,$E4)</f>
        <v>0</v>
      </c>
      <c r="J4" s="208">
        <f>COUNTIFS(CAMPS18!$AK$2:$AK$166,J$1,CAMPS18!$AQ$2:$AQ$166,$E4)</f>
        <v>1</v>
      </c>
      <c r="K4" s="201">
        <f>COUNTIFS(CAMPS18!$AK$2:$AK$166,K$1,CAMPS18!$AQ$2:$AQ$166,$E4)</f>
        <v>0</v>
      </c>
      <c r="L4" s="201">
        <f>COUNTIFS(CAMPS18!$AK$2:$AK$166,L$1,CAMPS18!$AQ$2:$AQ$166,$E4)</f>
        <v>2</v>
      </c>
      <c r="M4" s="201">
        <f>COUNTIFS(CAMPS18!$AK$2:$AK$166,M$1,CAMPS18!$AQ$2:$AQ$166,$E4)</f>
        <v>0</v>
      </c>
      <c r="N4" s="201">
        <f>COUNTIFS(CAMPS18!$AK$2:$AK$166,N$1,CAMPS18!$AQ$2:$AQ$166,$E4)</f>
        <v>0</v>
      </c>
      <c r="O4" s="201">
        <f>COUNTIFS(CAMPS18!$AK$2:$AK$166,O$1,CAMPS18!$AQ$2:$AQ$166,$E4)</f>
        <v>0</v>
      </c>
      <c r="P4" s="201">
        <f>COUNTIFS(CAMPS18!$AK$2:$AK$166,P$1,CAMPS18!$AQ$2:$AQ$166,$E4)</f>
        <v>0</v>
      </c>
      <c r="Q4" s="201">
        <f>COUNTIFS(CAMPS18!$AK$2:$AK$166,Q$1,CAMPS18!$AQ$2:$AQ$166,$E4)</f>
        <v>0</v>
      </c>
      <c r="R4" s="201">
        <f>COUNTIFS(CAMPS18!$AK$2:$AK$166,R$1,CAMPS18!$AQ$2:$AQ$166,$E4)</f>
        <v>0</v>
      </c>
    </row>
    <row r="5" spans="2:18" x14ac:dyDescent="0.35">
      <c r="B5" s="201" t="s">
        <v>885</v>
      </c>
      <c r="C5" s="201">
        <f>COUNTIF(CAMPS18!$AK$2:$AK$166,B5)</f>
        <v>32</v>
      </c>
      <c r="E5" s="208">
        <f t="shared" si="1"/>
        <v>4</v>
      </c>
      <c r="F5" s="208">
        <f t="shared" si="0"/>
        <v>0</v>
      </c>
      <c r="G5" s="201">
        <f>COUNTIFS(CAMPS18!$AK$2:$AK$166,G$1,CAMPS18!$AQ$2:$AQ$166,$E5)</f>
        <v>0</v>
      </c>
      <c r="H5" s="201">
        <f>COUNTIFS(CAMPS18!$AK$2:$AK$166,H$1,CAMPS18!$AQ$2:$AQ$166,$E5)</f>
        <v>0</v>
      </c>
      <c r="I5" s="201">
        <f>COUNTIFS(CAMPS18!$AK$2:$AK$166,I$1,CAMPS18!$AQ$2:$AQ$166,$E5)</f>
        <v>0</v>
      </c>
      <c r="J5" s="208">
        <f>COUNTIFS(CAMPS18!$AK$2:$AK$166,J$1,CAMPS18!$AQ$2:$AQ$166,$E5)</f>
        <v>0</v>
      </c>
      <c r="K5" s="201">
        <f>COUNTIFS(CAMPS18!$AK$2:$AK$166,K$1,CAMPS18!$AQ$2:$AQ$166,$E5)</f>
        <v>0</v>
      </c>
      <c r="L5" s="201">
        <f>COUNTIFS(CAMPS18!$AK$2:$AK$166,L$1,CAMPS18!$AQ$2:$AQ$166,$E5)</f>
        <v>0</v>
      </c>
      <c r="M5" s="201">
        <f>COUNTIFS(CAMPS18!$AK$2:$AK$166,M$1,CAMPS18!$AQ$2:$AQ$166,$E5)</f>
        <v>0</v>
      </c>
      <c r="N5" s="201">
        <f>COUNTIFS(CAMPS18!$AK$2:$AK$166,N$1,CAMPS18!$AQ$2:$AQ$166,$E5)</f>
        <v>0</v>
      </c>
      <c r="O5" s="201">
        <f>COUNTIFS(CAMPS18!$AK$2:$AK$166,O$1,CAMPS18!$AQ$2:$AQ$166,$E5)</f>
        <v>0</v>
      </c>
      <c r="P5" s="201">
        <f>COUNTIFS(CAMPS18!$AK$2:$AK$166,P$1,CAMPS18!$AQ$2:$AQ$166,$E5)</f>
        <v>0</v>
      </c>
      <c r="Q5" s="201">
        <f>COUNTIFS(CAMPS18!$AK$2:$AK$166,Q$1,CAMPS18!$AQ$2:$AQ$166,$E5)</f>
        <v>0</v>
      </c>
      <c r="R5" s="201">
        <f>COUNTIFS(CAMPS18!$AK$2:$AK$166,R$1,CAMPS18!$AQ$2:$AQ$166,$E5)</f>
        <v>0</v>
      </c>
    </row>
    <row r="6" spans="2:18" x14ac:dyDescent="0.35">
      <c r="B6" s="201" t="s">
        <v>888</v>
      </c>
      <c r="C6" s="201">
        <f>COUNTIF(CAMPS18!$AK$2:$AK$166,B6)</f>
        <v>3</v>
      </c>
      <c r="E6" s="208">
        <f t="shared" si="1"/>
        <v>5</v>
      </c>
      <c r="F6" s="208">
        <f t="shared" si="0"/>
        <v>2</v>
      </c>
      <c r="G6" s="201">
        <f>COUNTIFS(CAMPS18!$AK$2:$AK$166,G$1,CAMPS18!$AQ$2:$AQ$166,$E6)</f>
        <v>0</v>
      </c>
      <c r="H6" s="201">
        <f>COUNTIFS(CAMPS18!$AK$2:$AK$166,H$1,CAMPS18!$AQ$2:$AQ$166,$E6)</f>
        <v>0</v>
      </c>
      <c r="I6" s="201">
        <f>COUNTIFS(CAMPS18!$AK$2:$AK$166,I$1,CAMPS18!$AQ$2:$AQ$166,$E6)</f>
        <v>0</v>
      </c>
      <c r="J6" s="208">
        <f>COUNTIFS(CAMPS18!$AK$2:$AK$166,J$1,CAMPS18!$AQ$2:$AQ$166,$E6)</f>
        <v>0</v>
      </c>
      <c r="K6" s="201">
        <f>COUNTIFS(CAMPS18!$AK$2:$AK$166,K$1,CAMPS18!$AQ$2:$AQ$166,$E6)</f>
        <v>0</v>
      </c>
      <c r="L6" s="201">
        <f>COUNTIFS(CAMPS18!$AK$2:$AK$166,L$1,CAMPS18!$AQ$2:$AQ$166,$E6)</f>
        <v>1</v>
      </c>
      <c r="M6" s="201">
        <f>COUNTIFS(CAMPS18!$AK$2:$AK$166,M$1,CAMPS18!$AQ$2:$AQ$166,$E6)</f>
        <v>0</v>
      </c>
      <c r="N6" s="201">
        <f>COUNTIFS(CAMPS18!$AK$2:$AK$166,N$1,CAMPS18!$AQ$2:$AQ$166,$E6)</f>
        <v>0</v>
      </c>
      <c r="O6" s="201">
        <f>COUNTIFS(CAMPS18!$AK$2:$AK$166,O$1,CAMPS18!$AQ$2:$AQ$166,$E6)</f>
        <v>0</v>
      </c>
      <c r="P6" s="201">
        <f>COUNTIFS(CAMPS18!$AK$2:$AK$166,P$1,CAMPS18!$AQ$2:$AQ$166,$E6)</f>
        <v>0</v>
      </c>
      <c r="Q6" s="201">
        <f>COUNTIFS(CAMPS18!$AK$2:$AK$166,Q$1,CAMPS18!$AQ$2:$AQ$166,$E6)</f>
        <v>0</v>
      </c>
      <c r="R6" s="201">
        <f>COUNTIFS(CAMPS18!$AK$2:$AK$166,R$1,CAMPS18!$AQ$2:$AQ$166,$E6)</f>
        <v>1</v>
      </c>
    </row>
    <row r="7" spans="2:18" x14ac:dyDescent="0.35">
      <c r="B7" s="201" t="s">
        <v>882</v>
      </c>
      <c r="C7" s="201">
        <f>COUNTIF(CAMPS18!$AK$2:$AK$166,B7)</f>
        <v>4</v>
      </c>
      <c r="E7" s="208">
        <f t="shared" si="1"/>
        <v>6</v>
      </c>
      <c r="F7" s="208">
        <f t="shared" si="0"/>
        <v>1</v>
      </c>
      <c r="G7" s="201">
        <f>COUNTIFS(CAMPS18!$AK$2:$AK$166,G$1,CAMPS18!$AQ$2:$AQ$166,$E7)</f>
        <v>0</v>
      </c>
      <c r="H7" s="201">
        <f>COUNTIFS(CAMPS18!$AK$2:$AK$166,H$1,CAMPS18!$AQ$2:$AQ$166,$E7)</f>
        <v>0</v>
      </c>
      <c r="I7" s="201">
        <f>COUNTIFS(CAMPS18!$AK$2:$AK$166,I$1,CAMPS18!$AQ$2:$AQ$166,$E7)</f>
        <v>0</v>
      </c>
      <c r="J7" s="208">
        <f>COUNTIFS(CAMPS18!$AK$2:$AK$166,J$1,CAMPS18!$AQ$2:$AQ$166,$E7)</f>
        <v>1</v>
      </c>
      <c r="K7" s="201">
        <f>COUNTIFS(CAMPS18!$AK$2:$AK$166,K$1,CAMPS18!$AQ$2:$AQ$166,$E7)</f>
        <v>0</v>
      </c>
      <c r="L7" s="201">
        <f>COUNTIFS(CAMPS18!$AK$2:$AK$166,L$1,CAMPS18!$AQ$2:$AQ$166,$E7)</f>
        <v>0</v>
      </c>
      <c r="M7" s="201">
        <f>COUNTIFS(CAMPS18!$AK$2:$AK$166,M$1,CAMPS18!$AQ$2:$AQ$166,$E7)</f>
        <v>0</v>
      </c>
      <c r="N7" s="201">
        <f>COUNTIFS(CAMPS18!$AK$2:$AK$166,N$1,CAMPS18!$AQ$2:$AQ$166,$E7)</f>
        <v>0</v>
      </c>
      <c r="O7" s="201">
        <f>COUNTIFS(CAMPS18!$AK$2:$AK$166,O$1,CAMPS18!$AQ$2:$AQ$166,$E7)</f>
        <v>0</v>
      </c>
      <c r="P7" s="201">
        <f>COUNTIFS(CAMPS18!$AK$2:$AK$166,P$1,CAMPS18!$AQ$2:$AQ$166,$E7)</f>
        <v>0</v>
      </c>
      <c r="Q7" s="201">
        <f>COUNTIFS(CAMPS18!$AK$2:$AK$166,Q$1,CAMPS18!$AQ$2:$AQ$166,$E7)</f>
        <v>0</v>
      </c>
      <c r="R7" s="201">
        <f>COUNTIFS(CAMPS18!$AK$2:$AK$166,R$1,CAMPS18!$AQ$2:$AQ$166,$E7)</f>
        <v>0</v>
      </c>
    </row>
    <row r="8" spans="2:18" x14ac:dyDescent="0.35">
      <c r="B8" s="201" t="s">
        <v>883</v>
      </c>
      <c r="C8" s="201">
        <f>COUNTIF(CAMPS18!$AK$2:$AK$166,B8)</f>
        <v>48</v>
      </c>
      <c r="E8" s="208">
        <f t="shared" si="1"/>
        <v>7</v>
      </c>
      <c r="F8" s="208">
        <f t="shared" si="0"/>
        <v>2</v>
      </c>
      <c r="G8" s="201">
        <f>COUNTIFS(CAMPS18!$AK$2:$AK$166,G$1,CAMPS18!$AQ$2:$AQ$166,$E8)</f>
        <v>0</v>
      </c>
      <c r="H8" s="201">
        <f>COUNTIFS(CAMPS18!$AK$2:$AK$166,H$1,CAMPS18!$AQ$2:$AQ$166,$E8)</f>
        <v>0</v>
      </c>
      <c r="I8" s="201">
        <f>COUNTIFS(CAMPS18!$AK$2:$AK$166,I$1,CAMPS18!$AQ$2:$AQ$166,$E8)</f>
        <v>0</v>
      </c>
      <c r="J8" s="208">
        <f>COUNTIFS(CAMPS18!$AK$2:$AK$166,J$1,CAMPS18!$AQ$2:$AQ$166,$E8)</f>
        <v>0</v>
      </c>
      <c r="K8" s="201">
        <f>COUNTIFS(CAMPS18!$AK$2:$AK$166,K$1,CAMPS18!$AQ$2:$AQ$166,$E8)</f>
        <v>0</v>
      </c>
      <c r="L8" s="201">
        <f>COUNTIFS(CAMPS18!$AK$2:$AK$166,L$1,CAMPS18!$AQ$2:$AQ$166,$E8)</f>
        <v>0</v>
      </c>
      <c r="M8" s="201">
        <f>COUNTIFS(CAMPS18!$AK$2:$AK$166,M$1,CAMPS18!$AQ$2:$AQ$166,$E8)</f>
        <v>0</v>
      </c>
      <c r="N8" s="201">
        <f>COUNTIFS(CAMPS18!$AK$2:$AK$166,N$1,CAMPS18!$AQ$2:$AQ$166,$E8)</f>
        <v>0</v>
      </c>
      <c r="O8" s="201">
        <f>COUNTIFS(CAMPS18!$AK$2:$AK$166,O$1,CAMPS18!$AQ$2:$AQ$166,$E8)</f>
        <v>0</v>
      </c>
      <c r="P8" s="201">
        <f>COUNTIFS(CAMPS18!$AK$2:$AK$166,P$1,CAMPS18!$AQ$2:$AQ$166,$E8)</f>
        <v>2</v>
      </c>
      <c r="Q8" s="201">
        <f>COUNTIFS(CAMPS18!$AK$2:$AK$166,Q$1,CAMPS18!$AQ$2:$AQ$166,$E8)</f>
        <v>0</v>
      </c>
      <c r="R8" s="201">
        <f>COUNTIFS(CAMPS18!$AK$2:$AK$166,R$1,CAMPS18!$AQ$2:$AQ$166,$E8)</f>
        <v>0</v>
      </c>
    </row>
    <row r="9" spans="2:18" x14ac:dyDescent="0.35">
      <c r="B9" s="201" t="s">
        <v>890</v>
      </c>
      <c r="C9" s="201">
        <f>COUNTIF(CAMPS18!$AK$2:$AK$166,B9)</f>
        <v>9</v>
      </c>
      <c r="E9" s="208">
        <f t="shared" si="1"/>
        <v>8</v>
      </c>
      <c r="F9" s="208">
        <f t="shared" si="0"/>
        <v>0</v>
      </c>
      <c r="G9" s="201">
        <f>COUNTIFS(CAMPS18!$AK$2:$AK$166,G$1,CAMPS18!$AQ$2:$AQ$166,$E9)</f>
        <v>0</v>
      </c>
      <c r="H9" s="201">
        <f>COUNTIFS(CAMPS18!$AK$2:$AK$166,H$1,CAMPS18!$AQ$2:$AQ$166,$E9)</f>
        <v>0</v>
      </c>
      <c r="I9" s="201">
        <f>COUNTIFS(CAMPS18!$AK$2:$AK$166,I$1,CAMPS18!$AQ$2:$AQ$166,$E9)</f>
        <v>0</v>
      </c>
      <c r="J9" s="208">
        <f>COUNTIFS(CAMPS18!$AK$2:$AK$166,J$1,CAMPS18!$AQ$2:$AQ$166,$E9)</f>
        <v>0</v>
      </c>
      <c r="K9" s="201">
        <f>COUNTIFS(CAMPS18!$AK$2:$AK$166,K$1,CAMPS18!$AQ$2:$AQ$166,$E9)</f>
        <v>0</v>
      </c>
      <c r="L9" s="201">
        <f>COUNTIFS(CAMPS18!$AK$2:$AK$166,L$1,CAMPS18!$AQ$2:$AQ$166,$E9)</f>
        <v>0</v>
      </c>
      <c r="M9" s="201">
        <f>COUNTIFS(CAMPS18!$AK$2:$AK$166,M$1,CAMPS18!$AQ$2:$AQ$166,$E9)</f>
        <v>0</v>
      </c>
      <c r="N9" s="201">
        <f>COUNTIFS(CAMPS18!$AK$2:$AK$166,N$1,CAMPS18!$AQ$2:$AQ$166,$E9)</f>
        <v>0</v>
      </c>
      <c r="O9" s="201">
        <f>COUNTIFS(CAMPS18!$AK$2:$AK$166,O$1,CAMPS18!$AQ$2:$AQ$166,$E9)</f>
        <v>0</v>
      </c>
      <c r="P9" s="201">
        <f>COUNTIFS(CAMPS18!$AK$2:$AK$166,P$1,CAMPS18!$AQ$2:$AQ$166,$E9)</f>
        <v>0</v>
      </c>
      <c r="Q9" s="201">
        <f>COUNTIFS(CAMPS18!$AK$2:$AK$166,Q$1,CAMPS18!$AQ$2:$AQ$166,$E9)</f>
        <v>0</v>
      </c>
      <c r="R9" s="201">
        <f>COUNTIFS(CAMPS18!$AK$2:$AK$166,R$1,CAMPS18!$AQ$2:$AQ$166,$E9)</f>
        <v>0</v>
      </c>
    </row>
    <row r="10" spans="2:18" x14ac:dyDescent="0.35">
      <c r="B10" s="201" t="s">
        <v>889</v>
      </c>
      <c r="C10" s="201">
        <f>COUNTIF(CAMPS18!$AK$2:$AK$166,B10)</f>
        <v>8</v>
      </c>
      <c r="E10" s="208">
        <f t="shared" si="1"/>
        <v>9</v>
      </c>
      <c r="F10" s="208">
        <f t="shared" si="0"/>
        <v>4</v>
      </c>
      <c r="G10" s="201">
        <f>COUNTIFS(CAMPS18!$AK$2:$AK$166,G$1,CAMPS18!$AQ$2:$AQ$166,$E10)</f>
        <v>0</v>
      </c>
      <c r="H10" s="201">
        <f>COUNTIFS(CAMPS18!$AK$2:$AK$166,H$1,CAMPS18!$AQ$2:$AQ$166,$E10)</f>
        <v>0</v>
      </c>
      <c r="I10" s="201">
        <f>COUNTIFS(CAMPS18!$AK$2:$AK$166,I$1,CAMPS18!$AQ$2:$AQ$166,$E10)</f>
        <v>0</v>
      </c>
      <c r="J10" s="208">
        <f>COUNTIFS(CAMPS18!$AK$2:$AK$166,J$1,CAMPS18!$AQ$2:$AQ$166,$E10)</f>
        <v>0</v>
      </c>
      <c r="K10" s="201">
        <f>COUNTIFS(CAMPS18!$AK$2:$AK$166,K$1,CAMPS18!$AQ$2:$AQ$166,$E10)</f>
        <v>0</v>
      </c>
      <c r="L10" s="201">
        <f>COUNTIFS(CAMPS18!$AK$2:$AK$166,L$1,CAMPS18!$AQ$2:$AQ$166,$E10)</f>
        <v>0</v>
      </c>
      <c r="M10" s="201">
        <f>COUNTIFS(CAMPS18!$AK$2:$AK$166,M$1,CAMPS18!$AQ$2:$AQ$166,$E10)</f>
        <v>4</v>
      </c>
      <c r="N10" s="201">
        <f>COUNTIFS(CAMPS18!$AK$2:$AK$166,N$1,CAMPS18!$AQ$2:$AQ$166,$E10)</f>
        <v>0</v>
      </c>
      <c r="O10" s="201">
        <f>COUNTIFS(CAMPS18!$AK$2:$AK$166,O$1,CAMPS18!$AQ$2:$AQ$166,$E10)</f>
        <v>0</v>
      </c>
      <c r="P10" s="201">
        <f>COUNTIFS(CAMPS18!$AK$2:$AK$166,P$1,CAMPS18!$AQ$2:$AQ$166,$E10)</f>
        <v>0</v>
      </c>
      <c r="Q10" s="201">
        <f>COUNTIFS(CAMPS18!$AK$2:$AK$166,Q$1,CAMPS18!$AQ$2:$AQ$166,$E10)</f>
        <v>0</v>
      </c>
      <c r="R10" s="201">
        <f>COUNTIFS(CAMPS18!$AK$2:$AK$166,R$1,CAMPS18!$AQ$2:$AQ$166,$E10)</f>
        <v>0</v>
      </c>
    </row>
    <row r="11" spans="2:18" x14ac:dyDescent="0.35">
      <c r="B11" s="201" t="s">
        <v>886</v>
      </c>
      <c r="C11" s="201">
        <f>COUNTIF(CAMPS18!$AK$2:$AK$166,B11)</f>
        <v>5</v>
      </c>
      <c r="E11" s="208">
        <f t="shared" si="1"/>
        <v>10</v>
      </c>
      <c r="F11" s="208">
        <f t="shared" si="0"/>
        <v>3</v>
      </c>
      <c r="G11" s="201">
        <f>COUNTIFS(CAMPS18!$AK$2:$AK$166,G$1,CAMPS18!$AQ$2:$AQ$166,$E11)</f>
        <v>0</v>
      </c>
      <c r="H11" s="201">
        <f>COUNTIFS(CAMPS18!$AK$2:$AK$166,H$1,CAMPS18!$AQ$2:$AQ$166,$E11)</f>
        <v>0</v>
      </c>
      <c r="I11" s="201">
        <f>COUNTIFS(CAMPS18!$AK$2:$AK$166,I$1,CAMPS18!$AQ$2:$AQ$166,$E11)</f>
        <v>0</v>
      </c>
      <c r="J11" s="208">
        <f>COUNTIFS(CAMPS18!$AK$2:$AK$166,J$1,CAMPS18!$AQ$2:$AQ$166,$E11)</f>
        <v>3</v>
      </c>
      <c r="K11" s="201">
        <f>COUNTIFS(CAMPS18!$AK$2:$AK$166,K$1,CAMPS18!$AQ$2:$AQ$166,$E11)</f>
        <v>0</v>
      </c>
      <c r="L11" s="201">
        <f>COUNTIFS(CAMPS18!$AK$2:$AK$166,L$1,CAMPS18!$AQ$2:$AQ$166,$E11)</f>
        <v>0</v>
      </c>
      <c r="M11" s="201">
        <f>COUNTIFS(CAMPS18!$AK$2:$AK$166,M$1,CAMPS18!$AQ$2:$AQ$166,$E11)</f>
        <v>0</v>
      </c>
      <c r="N11" s="201">
        <f>COUNTIFS(CAMPS18!$AK$2:$AK$166,N$1,CAMPS18!$AQ$2:$AQ$166,$E11)</f>
        <v>0</v>
      </c>
      <c r="O11" s="201">
        <f>COUNTIFS(CAMPS18!$AK$2:$AK$166,O$1,CAMPS18!$AQ$2:$AQ$166,$E11)</f>
        <v>0</v>
      </c>
      <c r="P11" s="201">
        <f>COUNTIFS(CAMPS18!$AK$2:$AK$166,P$1,CAMPS18!$AQ$2:$AQ$166,$E11)</f>
        <v>0</v>
      </c>
      <c r="Q11" s="201">
        <f>COUNTIFS(CAMPS18!$AK$2:$AK$166,Q$1,CAMPS18!$AQ$2:$AQ$166,$E11)</f>
        <v>0</v>
      </c>
      <c r="R11" s="201">
        <f>COUNTIFS(CAMPS18!$AK$2:$AK$166,R$1,CAMPS18!$AQ$2:$AQ$166,$E11)</f>
        <v>0</v>
      </c>
    </row>
    <row r="12" spans="2:18" x14ac:dyDescent="0.35">
      <c r="B12" s="201" t="s">
        <v>887</v>
      </c>
      <c r="C12" s="201">
        <f>COUNTIF(CAMPS18!$AK$2:$AK$166,B12)</f>
        <v>5</v>
      </c>
      <c r="E12" s="208">
        <f t="shared" si="1"/>
        <v>11</v>
      </c>
      <c r="F12" s="208">
        <f t="shared" si="0"/>
        <v>1</v>
      </c>
      <c r="G12" s="201">
        <f>COUNTIFS(CAMPS18!$AK$2:$AK$166,G$1,CAMPS18!$AQ$2:$AQ$166,$E12)</f>
        <v>0</v>
      </c>
      <c r="H12" s="201">
        <f>COUNTIFS(CAMPS18!$AK$2:$AK$166,H$1,CAMPS18!$AQ$2:$AQ$166,$E12)</f>
        <v>0</v>
      </c>
      <c r="I12" s="201">
        <f>COUNTIFS(CAMPS18!$AK$2:$AK$166,I$1,CAMPS18!$AQ$2:$AQ$166,$E12)</f>
        <v>0</v>
      </c>
      <c r="J12" s="208">
        <f>COUNTIFS(CAMPS18!$AK$2:$AK$166,J$1,CAMPS18!$AQ$2:$AQ$166,$E12)</f>
        <v>0</v>
      </c>
      <c r="K12" s="201">
        <f>COUNTIFS(CAMPS18!$AK$2:$AK$166,K$1,CAMPS18!$AQ$2:$AQ$166,$E12)</f>
        <v>0</v>
      </c>
      <c r="L12" s="201">
        <f>COUNTIFS(CAMPS18!$AK$2:$AK$166,L$1,CAMPS18!$AQ$2:$AQ$166,$E12)</f>
        <v>0</v>
      </c>
      <c r="M12" s="201">
        <f>COUNTIFS(CAMPS18!$AK$2:$AK$166,M$1,CAMPS18!$AQ$2:$AQ$166,$E12)</f>
        <v>1</v>
      </c>
      <c r="N12" s="201">
        <f>COUNTIFS(CAMPS18!$AK$2:$AK$166,N$1,CAMPS18!$AQ$2:$AQ$166,$E12)</f>
        <v>0</v>
      </c>
      <c r="O12" s="201">
        <f>COUNTIFS(CAMPS18!$AK$2:$AK$166,O$1,CAMPS18!$AQ$2:$AQ$166,$E12)</f>
        <v>0</v>
      </c>
      <c r="P12" s="201">
        <f>COUNTIFS(CAMPS18!$AK$2:$AK$166,P$1,CAMPS18!$AQ$2:$AQ$166,$E12)</f>
        <v>0</v>
      </c>
      <c r="Q12" s="201">
        <f>COUNTIFS(CAMPS18!$AK$2:$AK$166,Q$1,CAMPS18!$AQ$2:$AQ$166,$E12)</f>
        <v>0</v>
      </c>
      <c r="R12" s="201">
        <f>COUNTIFS(CAMPS18!$AK$2:$AK$166,R$1,CAMPS18!$AQ$2:$AQ$166,$E12)</f>
        <v>0</v>
      </c>
    </row>
    <row r="13" spans="2:18" x14ac:dyDescent="0.35">
      <c r="B13" s="201" t="s">
        <v>891</v>
      </c>
      <c r="C13" s="201">
        <f>COUNTIF(CAMPS18!$AK$2:$AK$166,B13)</f>
        <v>1</v>
      </c>
      <c r="E13" s="208">
        <f t="shared" si="1"/>
        <v>12</v>
      </c>
      <c r="F13" s="208">
        <f t="shared" si="0"/>
        <v>9</v>
      </c>
      <c r="G13" s="201">
        <f>COUNTIFS(CAMPS18!$AK$2:$AK$166,G$1,CAMPS18!$AQ$2:$AQ$166,$E13)</f>
        <v>0</v>
      </c>
      <c r="H13" s="201">
        <f>COUNTIFS(CAMPS18!$AK$2:$AK$166,H$1,CAMPS18!$AQ$2:$AQ$166,$E13)</f>
        <v>5</v>
      </c>
      <c r="I13" s="201">
        <f>COUNTIFS(CAMPS18!$AK$2:$AK$166,I$1,CAMPS18!$AQ$2:$AQ$166,$E13)</f>
        <v>0</v>
      </c>
      <c r="J13" s="208">
        <f>COUNTIFS(CAMPS18!$AK$2:$AK$166,J$1,CAMPS18!$AQ$2:$AQ$166,$E13)</f>
        <v>0</v>
      </c>
      <c r="K13" s="201">
        <f>COUNTIFS(CAMPS18!$AK$2:$AK$166,K$1,CAMPS18!$AQ$2:$AQ$166,$E13)</f>
        <v>0</v>
      </c>
      <c r="L13" s="201">
        <f>COUNTIFS(CAMPS18!$AK$2:$AK$166,L$1,CAMPS18!$AQ$2:$AQ$166,$E13)</f>
        <v>0</v>
      </c>
      <c r="M13" s="201">
        <f>COUNTIFS(CAMPS18!$AK$2:$AK$166,M$1,CAMPS18!$AQ$2:$AQ$166,$E13)</f>
        <v>4</v>
      </c>
      <c r="N13" s="201">
        <f>COUNTIFS(CAMPS18!$AK$2:$AK$166,N$1,CAMPS18!$AQ$2:$AQ$166,$E13)</f>
        <v>0</v>
      </c>
      <c r="O13" s="201">
        <f>COUNTIFS(CAMPS18!$AK$2:$AK$166,O$1,CAMPS18!$AQ$2:$AQ$166,$E13)</f>
        <v>0</v>
      </c>
      <c r="P13" s="201">
        <f>COUNTIFS(CAMPS18!$AK$2:$AK$166,P$1,CAMPS18!$AQ$2:$AQ$166,$E13)</f>
        <v>0</v>
      </c>
      <c r="Q13" s="201">
        <f>COUNTIFS(CAMPS18!$AK$2:$AK$166,Q$1,CAMPS18!$AQ$2:$AQ$166,$E13)</f>
        <v>0</v>
      </c>
      <c r="R13" s="201">
        <f>COUNTIFS(CAMPS18!$AK$2:$AK$166,R$1,CAMPS18!$AQ$2:$AQ$166,$E13)</f>
        <v>0</v>
      </c>
    </row>
    <row r="14" spans="2:18" x14ac:dyDescent="0.35">
      <c r="B14" s="201" t="s">
        <v>884</v>
      </c>
      <c r="C14" s="201">
        <f>COUNTIF(CAMPS18!$AK$2:$AK$166,B14)</f>
        <v>17</v>
      </c>
      <c r="E14" s="208">
        <f t="shared" si="1"/>
        <v>13</v>
      </c>
      <c r="F14" s="208">
        <f t="shared" si="0"/>
        <v>0</v>
      </c>
      <c r="G14" s="201">
        <f>COUNTIFS(CAMPS18!$AK$2:$AK$166,G$1,CAMPS18!$AQ$2:$AQ$166,$E14)</f>
        <v>0</v>
      </c>
      <c r="H14" s="201">
        <f>COUNTIFS(CAMPS18!$AK$2:$AK$166,H$1,CAMPS18!$AQ$2:$AQ$166,$E14)</f>
        <v>0</v>
      </c>
      <c r="I14" s="201">
        <f>COUNTIFS(CAMPS18!$AK$2:$AK$166,I$1,CAMPS18!$AQ$2:$AQ$166,$E14)</f>
        <v>0</v>
      </c>
      <c r="J14" s="208">
        <f>COUNTIFS(CAMPS18!$AK$2:$AK$166,J$1,CAMPS18!$AQ$2:$AQ$166,$E14)</f>
        <v>0</v>
      </c>
      <c r="K14" s="201">
        <f>COUNTIFS(CAMPS18!$AK$2:$AK$166,K$1,CAMPS18!$AQ$2:$AQ$166,$E14)</f>
        <v>0</v>
      </c>
      <c r="L14" s="201">
        <f>COUNTIFS(CAMPS18!$AK$2:$AK$166,L$1,CAMPS18!$AQ$2:$AQ$166,$E14)</f>
        <v>0</v>
      </c>
      <c r="M14" s="201">
        <f>COUNTIFS(CAMPS18!$AK$2:$AK$166,M$1,CAMPS18!$AQ$2:$AQ$166,$E14)</f>
        <v>0</v>
      </c>
      <c r="N14" s="201">
        <f>COUNTIFS(CAMPS18!$AK$2:$AK$166,N$1,CAMPS18!$AQ$2:$AQ$166,$E14)</f>
        <v>0</v>
      </c>
      <c r="O14" s="201">
        <f>COUNTIFS(CAMPS18!$AK$2:$AK$166,O$1,CAMPS18!$AQ$2:$AQ$166,$E14)</f>
        <v>0</v>
      </c>
      <c r="P14" s="201">
        <f>COUNTIFS(CAMPS18!$AK$2:$AK$166,P$1,CAMPS18!$AQ$2:$AQ$166,$E14)</f>
        <v>0</v>
      </c>
      <c r="Q14" s="201">
        <f>COUNTIFS(CAMPS18!$AK$2:$AK$166,Q$1,CAMPS18!$AQ$2:$AQ$166,$E14)</f>
        <v>0</v>
      </c>
      <c r="R14" s="201">
        <f>COUNTIFS(CAMPS18!$AK$2:$AK$166,R$1,CAMPS18!$AQ$2:$AQ$166,$E14)</f>
        <v>0</v>
      </c>
    </row>
    <row r="15" spans="2:18" x14ac:dyDescent="0.35">
      <c r="B15" s="201" t="s">
        <v>880</v>
      </c>
      <c r="C15" s="201">
        <f>COUNTIF(CAMPS18!$AK$2:$AK$166,B15)</f>
        <v>6</v>
      </c>
      <c r="E15" s="208">
        <f t="shared" si="1"/>
        <v>14</v>
      </c>
      <c r="F15" s="208">
        <f t="shared" si="0"/>
        <v>0</v>
      </c>
      <c r="G15" s="201">
        <f>COUNTIFS(CAMPS18!$AK$2:$AK$166,G$1,CAMPS18!$AQ$2:$AQ$166,$E15)</f>
        <v>0</v>
      </c>
      <c r="H15" s="201">
        <f>COUNTIFS(CAMPS18!$AK$2:$AK$166,H$1,CAMPS18!$AQ$2:$AQ$166,$E15)</f>
        <v>0</v>
      </c>
      <c r="I15" s="201">
        <f>COUNTIFS(CAMPS18!$AK$2:$AK$166,I$1,CAMPS18!$AQ$2:$AQ$166,$E15)</f>
        <v>0</v>
      </c>
      <c r="J15" s="208">
        <f>COUNTIFS(CAMPS18!$AK$2:$AK$166,J$1,CAMPS18!$AQ$2:$AQ$166,$E15)</f>
        <v>0</v>
      </c>
      <c r="K15" s="201">
        <f>COUNTIFS(CAMPS18!$AK$2:$AK$166,K$1,CAMPS18!$AQ$2:$AQ$166,$E15)</f>
        <v>0</v>
      </c>
      <c r="L15" s="201">
        <f>COUNTIFS(CAMPS18!$AK$2:$AK$166,L$1,CAMPS18!$AQ$2:$AQ$166,$E15)</f>
        <v>0</v>
      </c>
      <c r="M15" s="201">
        <f>COUNTIFS(CAMPS18!$AK$2:$AK$166,M$1,CAMPS18!$AQ$2:$AQ$166,$E15)</f>
        <v>0</v>
      </c>
      <c r="N15" s="201">
        <f>COUNTIFS(CAMPS18!$AK$2:$AK$166,N$1,CAMPS18!$AQ$2:$AQ$166,$E15)</f>
        <v>0</v>
      </c>
      <c r="O15" s="201">
        <f>COUNTIFS(CAMPS18!$AK$2:$AK$166,O$1,CAMPS18!$AQ$2:$AQ$166,$E15)</f>
        <v>0</v>
      </c>
      <c r="P15" s="201">
        <f>COUNTIFS(CAMPS18!$AK$2:$AK$166,P$1,CAMPS18!$AQ$2:$AQ$166,$E15)</f>
        <v>0</v>
      </c>
      <c r="Q15" s="201">
        <f>COUNTIFS(CAMPS18!$AK$2:$AK$166,Q$1,CAMPS18!$AQ$2:$AQ$166,$E15)</f>
        <v>0</v>
      </c>
      <c r="R15" s="201">
        <f>COUNTIFS(CAMPS18!$AK$2:$AK$166,R$1,CAMPS18!$AQ$2:$AQ$166,$E15)</f>
        <v>0</v>
      </c>
    </row>
    <row r="16" spans="2:18" x14ac:dyDescent="0.35">
      <c r="B16" s="201"/>
      <c r="C16" s="201"/>
      <c r="E16" s="208">
        <f t="shared" si="1"/>
        <v>15</v>
      </c>
      <c r="F16" s="208">
        <f t="shared" si="0"/>
        <v>1</v>
      </c>
      <c r="G16" s="201">
        <f>COUNTIFS(CAMPS18!$AK$2:$AK$166,G$1,CAMPS18!$AQ$2:$AQ$166,$E16)</f>
        <v>0</v>
      </c>
      <c r="H16" s="201">
        <f>COUNTIFS(CAMPS18!$AK$2:$AK$166,H$1,CAMPS18!$AQ$2:$AQ$166,$E16)</f>
        <v>0</v>
      </c>
      <c r="I16" s="201">
        <f>COUNTIFS(CAMPS18!$AK$2:$AK$166,I$1,CAMPS18!$AQ$2:$AQ$166,$E16)</f>
        <v>0</v>
      </c>
      <c r="J16" s="208">
        <f>COUNTIFS(CAMPS18!$AK$2:$AK$166,J$1,CAMPS18!$AQ$2:$AQ$166,$E16)</f>
        <v>0</v>
      </c>
      <c r="K16" s="201">
        <f>COUNTIFS(CAMPS18!$AK$2:$AK$166,K$1,CAMPS18!$AQ$2:$AQ$166,$E16)</f>
        <v>0</v>
      </c>
      <c r="L16" s="201">
        <f>COUNTIFS(CAMPS18!$AK$2:$AK$166,L$1,CAMPS18!$AQ$2:$AQ$166,$E16)</f>
        <v>0</v>
      </c>
      <c r="M16" s="201">
        <f>COUNTIFS(CAMPS18!$AK$2:$AK$166,M$1,CAMPS18!$AQ$2:$AQ$166,$E16)</f>
        <v>1</v>
      </c>
      <c r="N16" s="201">
        <f>COUNTIFS(CAMPS18!$AK$2:$AK$166,N$1,CAMPS18!$AQ$2:$AQ$166,$E16)</f>
        <v>0</v>
      </c>
      <c r="O16" s="201">
        <f>COUNTIFS(CAMPS18!$AK$2:$AK$166,O$1,CAMPS18!$AQ$2:$AQ$166,$E16)</f>
        <v>0</v>
      </c>
      <c r="P16" s="201">
        <f>COUNTIFS(CAMPS18!$AK$2:$AK$166,P$1,CAMPS18!$AQ$2:$AQ$166,$E16)</f>
        <v>0</v>
      </c>
      <c r="Q16" s="201">
        <f>COUNTIFS(CAMPS18!$AK$2:$AK$166,Q$1,CAMPS18!$AQ$2:$AQ$166,$E16)</f>
        <v>0</v>
      </c>
      <c r="R16" s="201">
        <f>COUNTIFS(CAMPS18!$AK$2:$AK$166,R$1,CAMPS18!$AQ$2:$AQ$166,$E16)</f>
        <v>0</v>
      </c>
    </row>
    <row r="17" spans="2:18" x14ac:dyDescent="0.35">
      <c r="B17" s="201" t="s">
        <v>895</v>
      </c>
      <c r="C17" s="201">
        <f>SUM(C2:C15)</f>
        <v>163</v>
      </c>
      <c r="E17" s="208">
        <f t="shared" si="1"/>
        <v>16</v>
      </c>
      <c r="F17" s="208">
        <f t="shared" si="0"/>
        <v>1</v>
      </c>
      <c r="G17" s="201">
        <f>COUNTIFS(CAMPS18!$AK$2:$AK$166,G$1,CAMPS18!$AQ$2:$AQ$166,$E17)</f>
        <v>0</v>
      </c>
      <c r="H17" s="201">
        <f>COUNTIFS(CAMPS18!$AK$2:$AK$166,H$1,CAMPS18!$AQ$2:$AQ$166,$E17)</f>
        <v>0</v>
      </c>
      <c r="I17" s="201">
        <f>COUNTIFS(CAMPS18!$AK$2:$AK$166,I$1,CAMPS18!$AQ$2:$AQ$166,$E17)</f>
        <v>0</v>
      </c>
      <c r="J17" s="208">
        <f>COUNTIFS(CAMPS18!$AK$2:$AK$166,J$1,CAMPS18!$AQ$2:$AQ$166,$E17)</f>
        <v>0</v>
      </c>
      <c r="K17" s="201">
        <f>COUNTIFS(CAMPS18!$AK$2:$AK$166,K$1,CAMPS18!$AQ$2:$AQ$166,$E17)</f>
        <v>0</v>
      </c>
      <c r="L17" s="201">
        <f>COUNTIFS(CAMPS18!$AK$2:$AK$166,L$1,CAMPS18!$AQ$2:$AQ$166,$E17)</f>
        <v>0</v>
      </c>
      <c r="M17" s="201">
        <f>COUNTIFS(CAMPS18!$AK$2:$AK$166,M$1,CAMPS18!$AQ$2:$AQ$166,$E17)</f>
        <v>1</v>
      </c>
      <c r="N17" s="201">
        <f>COUNTIFS(CAMPS18!$AK$2:$AK$166,N$1,CAMPS18!$AQ$2:$AQ$166,$E17)</f>
        <v>0</v>
      </c>
      <c r="O17" s="201">
        <f>COUNTIFS(CAMPS18!$AK$2:$AK$166,O$1,CAMPS18!$AQ$2:$AQ$166,$E17)</f>
        <v>0</v>
      </c>
      <c r="P17" s="201">
        <f>COUNTIFS(CAMPS18!$AK$2:$AK$166,P$1,CAMPS18!$AQ$2:$AQ$166,$E17)</f>
        <v>0</v>
      </c>
      <c r="Q17" s="201">
        <f>COUNTIFS(CAMPS18!$AK$2:$AK$166,Q$1,CAMPS18!$AQ$2:$AQ$166,$E17)</f>
        <v>0</v>
      </c>
      <c r="R17" s="201">
        <f>COUNTIFS(CAMPS18!$AK$2:$AK$166,R$1,CAMPS18!$AQ$2:$AQ$166,$E17)</f>
        <v>0</v>
      </c>
    </row>
    <row r="18" spans="2:18" x14ac:dyDescent="0.35">
      <c r="B18" s="210" t="s">
        <v>898</v>
      </c>
      <c r="C18">
        <f>C17-C14-C15</f>
        <v>140</v>
      </c>
      <c r="E18" s="208">
        <f t="shared" si="1"/>
        <v>17</v>
      </c>
      <c r="F18" s="208">
        <f t="shared" si="0"/>
        <v>1</v>
      </c>
      <c r="G18" s="201">
        <f>COUNTIFS(CAMPS18!$AK$2:$AK$166,G$1,CAMPS18!$AQ$2:$AQ$166,$E18)</f>
        <v>0</v>
      </c>
      <c r="H18" s="201">
        <f>COUNTIFS(CAMPS18!$AK$2:$AK$166,H$1,CAMPS18!$AQ$2:$AQ$166,$E18)</f>
        <v>0</v>
      </c>
      <c r="I18" s="201">
        <f>COUNTIFS(CAMPS18!$AK$2:$AK$166,I$1,CAMPS18!$AQ$2:$AQ$166,$E18)</f>
        <v>0</v>
      </c>
      <c r="J18" s="208">
        <f>COUNTIFS(CAMPS18!$AK$2:$AK$166,J$1,CAMPS18!$AQ$2:$AQ$166,$E18)</f>
        <v>0</v>
      </c>
      <c r="K18" s="201">
        <f>COUNTIFS(CAMPS18!$AK$2:$AK$166,K$1,CAMPS18!$AQ$2:$AQ$166,$E18)</f>
        <v>0</v>
      </c>
      <c r="L18" s="201">
        <f>COUNTIFS(CAMPS18!$AK$2:$AK$166,L$1,CAMPS18!$AQ$2:$AQ$166,$E18)</f>
        <v>0</v>
      </c>
      <c r="M18" s="201">
        <f>COUNTIFS(CAMPS18!$AK$2:$AK$166,M$1,CAMPS18!$AQ$2:$AQ$166,$E18)</f>
        <v>0</v>
      </c>
      <c r="N18" s="201">
        <f>COUNTIFS(CAMPS18!$AK$2:$AK$166,N$1,CAMPS18!$AQ$2:$AQ$166,$E18)</f>
        <v>0</v>
      </c>
      <c r="O18" s="201">
        <f>COUNTIFS(CAMPS18!$AK$2:$AK$166,O$1,CAMPS18!$AQ$2:$AQ$166,$E18)</f>
        <v>1</v>
      </c>
      <c r="P18" s="201">
        <f>COUNTIFS(CAMPS18!$AK$2:$AK$166,P$1,CAMPS18!$AQ$2:$AQ$166,$E18)</f>
        <v>0</v>
      </c>
      <c r="Q18" s="201">
        <f>COUNTIFS(CAMPS18!$AK$2:$AK$166,Q$1,CAMPS18!$AQ$2:$AQ$166,$E18)</f>
        <v>0</v>
      </c>
      <c r="R18" s="201">
        <f>COUNTIFS(CAMPS18!$AK$2:$AK$166,R$1,CAMPS18!$AQ$2:$AQ$166,$E18)</f>
        <v>0</v>
      </c>
    </row>
    <row r="19" spans="2:18" x14ac:dyDescent="0.35">
      <c r="E19" s="208">
        <f t="shared" si="1"/>
        <v>18</v>
      </c>
      <c r="F19" s="208">
        <f t="shared" si="0"/>
        <v>0</v>
      </c>
      <c r="G19" s="201">
        <f>COUNTIFS(CAMPS18!$AK$2:$AK$166,G$1,CAMPS18!$AQ$2:$AQ$166,$E19)</f>
        <v>0</v>
      </c>
      <c r="H19" s="201">
        <f>COUNTIFS(CAMPS18!$AK$2:$AK$166,H$1,CAMPS18!$AQ$2:$AQ$166,$E19)</f>
        <v>0</v>
      </c>
      <c r="I19" s="201">
        <f>COUNTIFS(CAMPS18!$AK$2:$AK$166,I$1,CAMPS18!$AQ$2:$AQ$166,$E19)</f>
        <v>0</v>
      </c>
      <c r="J19" s="208">
        <f>COUNTIFS(CAMPS18!$AK$2:$AK$166,J$1,CAMPS18!$AQ$2:$AQ$166,$E19)</f>
        <v>0</v>
      </c>
      <c r="K19" s="201">
        <f>COUNTIFS(CAMPS18!$AK$2:$AK$166,K$1,CAMPS18!$AQ$2:$AQ$166,$E19)</f>
        <v>0</v>
      </c>
      <c r="L19" s="201">
        <f>COUNTIFS(CAMPS18!$AK$2:$AK$166,L$1,CAMPS18!$AQ$2:$AQ$166,$E19)</f>
        <v>0</v>
      </c>
      <c r="M19" s="201">
        <f>COUNTIFS(CAMPS18!$AK$2:$AK$166,M$1,CAMPS18!$AQ$2:$AQ$166,$E19)</f>
        <v>0</v>
      </c>
      <c r="N19" s="201">
        <f>COUNTIFS(CAMPS18!$AK$2:$AK$166,N$1,CAMPS18!$AQ$2:$AQ$166,$E19)</f>
        <v>0</v>
      </c>
      <c r="O19" s="201">
        <f>COUNTIFS(CAMPS18!$AK$2:$AK$166,O$1,CAMPS18!$AQ$2:$AQ$166,$E19)</f>
        <v>0</v>
      </c>
      <c r="P19" s="201">
        <f>COUNTIFS(CAMPS18!$AK$2:$AK$166,P$1,CAMPS18!$AQ$2:$AQ$166,$E19)</f>
        <v>0</v>
      </c>
      <c r="Q19" s="201">
        <f>COUNTIFS(CAMPS18!$AK$2:$AK$166,Q$1,CAMPS18!$AQ$2:$AQ$166,$E19)</f>
        <v>0</v>
      </c>
      <c r="R19" s="201">
        <f>COUNTIFS(CAMPS18!$AK$2:$AK$166,R$1,CAMPS18!$AQ$2:$AQ$166,$E19)</f>
        <v>0</v>
      </c>
    </row>
    <row r="20" spans="2:18" x14ac:dyDescent="0.35">
      <c r="E20" s="208">
        <f t="shared" si="1"/>
        <v>19</v>
      </c>
      <c r="F20" s="208">
        <f t="shared" si="0"/>
        <v>0</v>
      </c>
      <c r="G20" s="201">
        <f>COUNTIFS(CAMPS18!$AK$2:$AK$166,G$1,CAMPS18!$AQ$2:$AQ$166,$E20)</f>
        <v>0</v>
      </c>
      <c r="H20" s="201">
        <f>COUNTIFS(CAMPS18!$AK$2:$AK$166,H$1,CAMPS18!$AQ$2:$AQ$166,$E20)</f>
        <v>0</v>
      </c>
      <c r="I20" s="201">
        <f>COUNTIFS(CAMPS18!$AK$2:$AK$166,I$1,CAMPS18!$AQ$2:$AQ$166,$E20)</f>
        <v>0</v>
      </c>
      <c r="J20" s="208">
        <f>COUNTIFS(CAMPS18!$AK$2:$AK$166,J$1,CAMPS18!$AQ$2:$AQ$166,$E20)</f>
        <v>0</v>
      </c>
      <c r="K20" s="201">
        <f>COUNTIFS(CAMPS18!$AK$2:$AK$166,K$1,CAMPS18!$AQ$2:$AQ$166,$E20)</f>
        <v>0</v>
      </c>
      <c r="L20" s="201">
        <f>COUNTIFS(CAMPS18!$AK$2:$AK$166,L$1,CAMPS18!$AQ$2:$AQ$166,$E20)</f>
        <v>0</v>
      </c>
      <c r="M20" s="201">
        <f>COUNTIFS(CAMPS18!$AK$2:$AK$166,M$1,CAMPS18!$AQ$2:$AQ$166,$E20)</f>
        <v>0</v>
      </c>
      <c r="N20" s="201">
        <f>COUNTIFS(CAMPS18!$AK$2:$AK$166,N$1,CAMPS18!$AQ$2:$AQ$166,$E20)</f>
        <v>0</v>
      </c>
      <c r="O20" s="201">
        <f>COUNTIFS(CAMPS18!$AK$2:$AK$166,O$1,CAMPS18!$AQ$2:$AQ$166,$E20)</f>
        <v>0</v>
      </c>
      <c r="P20" s="201">
        <f>COUNTIFS(CAMPS18!$AK$2:$AK$166,P$1,CAMPS18!$AQ$2:$AQ$166,$E20)</f>
        <v>0</v>
      </c>
      <c r="Q20" s="201">
        <f>COUNTIFS(CAMPS18!$AK$2:$AK$166,Q$1,CAMPS18!$AQ$2:$AQ$166,$E20)</f>
        <v>0</v>
      </c>
      <c r="R20" s="201">
        <f>COUNTIFS(CAMPS18!$AK$2:$AK$166,R$1,CAMPS18!$AQ$2:$AQ$166,$E20)</f>
        <v>0</v>
      </c>
    </row>
    <row r="21" spans="2:18" x14ac:dyDescent="0.35">
      <c r="E21" s="208">
        <f t="shared" si="1"/>
        <v>20</v>
      </c>
      <c r="F21" s="208">
        <f t="shared" si="0"/>
        <v>1</v>
      </c>
      <c r="G21" s="201">
        <f>COUNTIFS(CAMPS18!$AK$2:$AK$166,G$1,CAMPS18!$AQ$2:$AQ$166,$E21)</f>
        <v>0</v>
      </c>
      <c r="H21" s="201">
        <f>COUNTIFS(CAMPS18!$AK$2:$AK$166,H$1,CAMPS18!$AQ$2:$AQ$166,$E21)</f>
        <v>0</v>
      </c>
      <c r="I21" s="201">
        <f>COUNTIFS(CAMPS18!$AK$2:$AK$166,I$1,CAMPS18!$AQ$2:$AQ$166,$E21)</f>
        <v>0</v>
      </c>
      <c r="J21" s="208">
        <f>COUNTIFS(CAMPS18!$AK$2:$AK$166,J$1,CAMPS18!$AQ$2:$AQ$166,$E21)</f>
        <v>0</v>
      </c>
      <c r="K21" s="201">
        <f>COUNTIFS(CAMPS18!$AK$2:$AK$166,K$1,CAMPS18!$AQ$2:$AQ$166,$E21)</f>
        <v>0</v>
      </c>
      <c r="L21" s="201">
        <f>COUNTIFS(CAMPS18!$AK$2:$AK$166,L$1,CAMPS18!$AQ$2:$AQ$166,$E21)</f>
        <v>0</v>
      </c>
      <c r="M21" s="201">
        <f>COUNTIFS(CAMPS18!$AK$2:$AK$166,M$1,CAMPS18!$AQ$2:$AQ$166,$E21)</f>
        <v>0</v>
      </c>
      <c r="N21" s="201">
        <f>COUNTIFS(CAMPS18!$AK$2:$AK$166,N$1,CAMPS18!$AQ$2:$AQ$166,$E21)</f>
        <v>1</v>
      </c>
      <c r="O21" s="201">
        <f>COUNTIFS(CAMPS18!$AK$2:$AK$166,O$1,CAMPS18!$AQ$2:$AQ$166,$E21)</f>
        <v>0</v>
      </c>
      <c r="P21" s="201">
        <f>COUNTIFS(CAMPS18!$AK$2:$AK$166,P$1,CAMPS18!$AQ$2:$AQ$166,$E21)</f>
        <v>0</v>
      </c>
      <c r="Q21" s="201">
        <f>COUNTIFS(CAMPS18!$AK$2:$AK$166,Q$1,CAMPS18!$AQ$2:$AQ$166,$E21)</f>
        <v>0</v>
      </c>
      <c r="R21" s="201">
        <f>COUNTIFS(CAMPS18!$AK$2:$AK$166,R$1,CAMPS18!$AQ$2:$AQ$166,$E21)</f>
        <v>0</v>
      </c>
    </row>
    <row r="22" spans="2:18" x14ac:dyDescent="0.35">
      <c r="E22" s="208">
        <f t="shared" si="1"/>
        <v>21</v>
      </c>
      <c r="F22" s="208">
        <f t="shared" si="0"/>
        <v>3</v>
      </c>
      <c r="G22" s="201">
        <f>COUNTIFS(CAMPS18!$AK$2:$AK$166,G$1,CAMPS18!$AQ$2:$AQ$166,$E22)</f>
        <v>0</v>
      </c>
      <c r="H22" s="201">
        <f>COUNTIFS(CAMPS18!$AK$2:$AK$166,H$1,CAMPS18!$AQ$2:$AQ$166,$E22)</f>
        <v>0</v>
      </c>
      <c r="I22" s="201">
        <f>COUNTIFS(CAMPS18!$AK$2:$AK$166,I$1,CAMPS18!$AQ$2:$AQ$166,$E22)</f>
        <v>0</v>
      </c>
      <c r="J22" s="208">
        <f>COUNTIFS(CAMPS18!$AK$2:$AK$166,J$1,CAMPS18!$AQ$2:$AQ$166,$E22)</f>
        <v>3</v>
      </c>
      <c r="K22" s="201">
        <f>COUNTIFS(CAMPS18!$AK$2:$AK$166,K$1,CAMPS18!$AQ$2:$AQ$166,$E22)</f>
        <v>0</v>
      </c>
      <c r="L22" s="201">
        <f>COUNTIFS(CAMPS18!$AK$2:$AK$166,L$1,CAMPS18!$AQ$2:$AQ$166,$E22)</f>
        <v>0</v>
      </c>
      <c r="M22" s="201">
        <f>COUNTIFS(CAMPS18!$AK$2:$AK$166,M$1,CAMPS18!$AQ$2:$AQ$166,$E22)</f>
        <v>0</v>
      </c>
      <c r="N22" s="201">
        <f>COUNTIFS(CAMPS18!$AK$2:$AK$166,N$1,CAMPS18!$AQ$2:$AQ$166,$E22)</f>
        <v>0</v>
      </c>
      <c r="O22" s="201">
        <f>COUNTIFS(CAMPS18!$AK$2:$AK$166,O$1,CAMPS18!$AQ$2:$AQ$166,$E22)</f>
        <v>0</v>
      </c>
      <c r="P22" s="201">
        <f>COUNTIFS(CAMPS18!$AK$2:$AK$166,P$1,CAMPS18!$AQ$2:$AQ$166,$E22)</f>
        <v>0</v>
      </c>
      <c r="Q22" s="201">
        <f>COUNTIFS(CAMPS18!$AK$2:$AK$166,Q$1,CAMPS18!$AQ$2:$AQ$166,$E22)</f>
        <v>0</v>
      </c>
      <c r="R22" s="201">
        <f>COUNTIFS(CAMPS18!$AK$2:$AK$166,R$1,CAMPS18!$AQ$2:$AQ$166,$E22)</f>
        <v>0</v>
      </c>
    </row>
    <row r="23" spans="2:18" x14ac:dyDescent="0.35">
      <c r="E23" s="208">
        <f t="shared" si="1"/>
        <v>22</v>
      </c>
      <c r="F23" s="208">
        <f t="shared" si="0"/>
        <v>0</v>
      </c>
      <c r="G23" s="201">
        <f>COUNTIFS(CAMPS18!$AK$2:$AK$166,G$1,CAMPS18!$AQ$2:$AQ$166,$E23)</f>
        <v>0</v>
      </c>
      <c r="H23" s="201">
        <f>COUNTIFS(CAMPS18!$AK$2:$AK$166,H$1,CAMPS18!$AQ$2:$AQ$166,$E23)</f>
        <v>0</v>
      </c>
      <c r="I23" s="201">
        <f>COUNTIFS(CAMPS18!$AK$2:$AK$166,I$1,CAMPS18!$AQ$2:$AQ$166,$E23)</f>
        <v>0</v>
      </c>
      <c r="J23" s="208">
        <f>COUNTIFS(CAMPS18!$AK$2:$AK$166,J$1,CAMPS18!$AQ$2:$AQ$166,$E23)</f>
        <v>0</v>
      </c>
      <c r="K23" s="201">
        <f>COUNTIFS(CAMPS18!$AK$2:$AK$166,K$1,CAMPS18!$AQ$2:$AQ$166,$E23)</f>
        <v>0</v>
      </c>
      <c r="L23" s="201">
        <f>COUNTIFS(CAMPS18!$AK$2:$AK$166,L$1,CAMPS18!$AQ$2:$AQ$166,$E23)</f>
        <v>0</v>
      </c>
      <c r="M23" s="201">
        <f>COUNTIFS(CAMPS18!$AK$2:$AK$166,M$1,CAMPS18!$AQ$2:$AQ$166,$E23)</f>
        <v>0</v>
      </c>
      <c r="N23" s="201">
        <f>COUNTIFS(CAMPS18!$AK$2:$AK$166,N$1,CAMPS18!$AQ$2:$AQ$166,$E23)</f>
        <v>0</v>
      </c>
      <c r="O23" s="201">
        <f>COUNTIFS(CAMPS18!$AK$2:$AK$166,O$1,CAMPS18!$AQ$2:$AQ$166,$E23)</f>
        <v>0</v>
      </c>
      <c r="P23" s="201">
        <f>COUNTIFS(CAMPS18!$AK$2:$AK$166,P$1,CAMPS18!$AQ$2:$AQ$166,$E23)</f>
        <v>0</v>
      </c>
      <c r="Q23" s="201">
        <f>COUNTIFS(CAMPS18!$AK$2:$AK$166,Q$1,CAMPS18!$AQ$2:$AQ$166,$E23)</f>
        <v>0</v>
      </c>
      <c r="R23" s="201">
        <f>COUNTIFS(CAMPS18!$AK$2:$AK$166,R$1,CAMPS18!$AQ$2:$AQ$166,$E23)</f>
        <v>0</v>
      </c>
    </row>
    <row r="24" spans="2:18" x14ac:dyDescent="0.35">
      <c r="E24" s="208">
        <f t="shared" si="1"/>
        <v>23</v>
      </c>
      <c r="F24" s="208">
        <f t="shared" si="0"/>
        <v>0</v>
      </c>
      <c r="G24" s="201">
        <f>COUNTIFS(CAMPS18!$AK$2:$AK$166,G$1,CAMPS18!$AQ$2:$AQ$166,$E24)</f>
        <v>0</v>
      </c>
      <c r="H24" s="201">
        <f>COUNTIFS(CAMPS18!$AK$2:$AK$166,H$1,CAMPS18!$AQ$2:$AQ$166,$E24)</f>
        <v>0</v>
      </c>
      <c r="I24" s="201">
        <f>COUNTIFS(CAMPS18!$AK$2:$AK$166,I$1,CAMPS18!$AQ$2:$AQ$166,$E24)</f>
        <v>0</v>
      </c>
      <c r="J24" s="208">
        <f>COUNTIFS(CAMPS18!$AK$2:$AK$166,J$1,CAMPS18!$AQ$2:$AQ$166,$E24)</f>
        <v>0</v>
      </c>
      <c r="K24" s="201">
        <f>COUNTIFS(CAMPS18!$AK$2:$AK$166,K$1,CAMPS18!$AQ$2:$AQ$166,$E24)</f>
        <v>0</v>
      </c>
      <c r="L24" s="201">
        <f>COUNTIFS(CAMPS18!$AK$2:$AK$166,L$1,CAMPS18!$AQ$2:$AQ$166,$E24)</f>
        <v>0</v>
      </c>
      <c r="M24" s="201">
        <f>COUNTIFS(CAMPS18!$AK$2:$AK$166,M$1,CAMPS18!$AQ$2:$AQ$166,$E24)</f>
        <v>0</v>
      </c>
      <c r="N24" s="201">
        <f>COUNTIFS(CAMPS18!$AK$2:$AK$166,N$1,CAMPS18!$AQ$2:$AQ$166,$E24)</f>
        <v>0</v>
      </c>
      <c r="O24" s="201">
        <f>COUNTIFS(CAMPS18!$AK$2:$AK$166,O$1,CAMPS18!$AQ$2:$AQ$166,$E24)</f>
        <v>0</v>
      </c>
      <c r="P24" s="201">
        <f>COUNTIFS(CAMPS18!$AK$2:$AK$166,P$1,CAMPS18!$AQ$2:$AQ$166,$E24)</f>
        <v>0</v>
      </c>
      <c r="Q24" s="201">
        <f>COUNTIFS(CAMPS18!$AK$2:$AK$166,Q$1,CAMPS18!$AQ$2:$AQ$166,$E24)</f>
        <v>0</v>
      </c>
      <c r="R24" s="201">
        <f>COUNTIFS(CAMPS18!$AK$2:$AK$166,R$1,CAMPS18!$AQ$2:$AQ$166,$E24)</f>
        <v>0</v>
      </c>
    </row>
    <row r="25" spans="2:18" x14ac:dyDescent="0.35">
      <c r="E25" s="208">
        <f t="shared" si="1"/>
        <v>24</v>
      </c>
      <c r="F25" s="208">
        <f t="shared" si="0"/>
        <v>3</v>
      </c>
      <c r="G25" s="201">
        <f>COUNTIFS(CAMPS18!$AK$2:$AK$166,G$1,CAMPS18!$AQ$2:$AQ$166,$E25)</f>
        <v>0</v>
      </c>
      <c r="H25" s="201">
        <f>COUNTIFS(CAMPS18!$AK$2:$AK$166,H$1,CAMPS18!$AQ$2:$AQ$166,$E25)</f>
        <v>0</v>
      </c>
      <c r="I25" s="201">
        <f>COUNTIFS(CAMPS18!$AK$2:$AK$166,I$1,CAMPS18!$AQ$2:$AQ$166,$E25)</f>
        <v>0</v>
      </c>
      <c r="J25" s="208">
        <f>COUNTIFS(CAMPS18!$AK$2:$AK$166,J$1,CAMPS18!$AQ$2:$AQ$166,$E25)</f>
        <v>1</v>
      </c>
      <c r="K25" s="201">
        <f>COUNTIFS(CAMPS18!$AK$2:$AK$166,K$1,CAMPS18!$AQ$2:$AQ$166,$E25)</f>
        <v>0</v>
      </c>
      <c r="L25" s="201">
        <f>COUNTIFS(CAMPS18!$AK$2:$AK$166,L$1,CAMPS18!$AQ$2:$AQ$166,$E25)</f>
        <v>0</v>
      </c>
      <c r="M25" s="201">
        <f>COUNTIFS(CAMPS18!$AK$2:$AK$166,M$1,CAMPS18!$AQ$2:$AQ$166,$E25)</f>
        <v>2</v>
      </c>
      <c r="N25" s="201">
        <f>COUNTIFS(CAMPS18!$AK$2:$AK$166,N$1,CAMPS18!$AQ$2:$AQ$166,$E25)</f>
        <v>0</v>
      </c>
      <c r="O25" s="201">
        <f>COUNTIFS(CAMPS18!$AK$2:$AK$166,O$1,CAMPS18!$AQ$2:$AQ$166,$E25)</f>
        <v>0</v>
      </c>
      <c r="P25" s="201">
        <f>COUNTIFS(CAMPS18!$AK$2:$AK$166,P$1,CAMPS18!$AQ$2:$AQ$166,$E25)</f>
        <v>0</v>
      </c>
      <c r="Q25" s="201">
        <f>COUNTIFS(CAMPS18!$AK$2:$AK$166,Q$1,CAMPS18!$AQ$2:$AQ$166,$E25)</f>
        <v>0</v>
      </c>
      <c r="R25" s="201">
        <f>COUNTIFS(CAMPS18!$AK$2:$AK$166,R$1,CAMPS18!$AQ$2:$AQ$166,$E25)</f>
        <v>0</v>
      </c>
    </row>
    <row r="26" spans="2:18" x14ac:dyDescent="0.35">
      <c r="E26" s="208">
        <f t="shared" si="1"/>
        <v>25</v>
      </c>
      <c r="F26" s="208">
        <f t="shared" si="0"/>
        <v>3</v>
      </c>
      <c r="G26" s="201">
        <f>COUNTIFS(CAMPS18!$AK$2:$AK$166,G$1,CAMPS18!$AQ$2:$AQ$166,$E26)</f>
        <v>0</v>
      </c>
      <c r="H26" s="201">
        <f>COUNTIFS(CAMPS18!$AK$2:$AK$166,H$1,CAMPS18!$AQ$2:$AQ$166,$E26)</f>
        <v>0</v>
      </c>
      <c r="I26" s="201">
        <f>COUNTIFS(CAMPS18!$AK$2:$AK$166,I$1,CAMPS18!$AQ$2:$AQ$166,$E26)</f>
        <v>0</v>
      </c>
      <c r="J26" s="208">
        <f>COUNTIFS(CAMPS18!$AK$2:$AK$166,J$1,CAMPS18!$AQ$2:$AQ$166,$E26)</f>
        <v>0</v>
      </c>
      <c r="K26" s="201">
        <f>COUNTIFS(CAMPS18!$AK$2:$AK$166,K$1,CAMPS18!$AQ$2:$AQ$166,$E26)</f>
        <v>1</v>
      </c>
      <c r="L26" s="201">
        <f>COUNTIFS(CAMPS18!$AK$2:$AK$166,L$1,CAMPS18!$AQ$2:$AQ$166,$E26)</f>
        <v>1</v>
      </c>
      <c r="M26" s="201">
        <f>COUNTIFS(CAMPS18!$AK$2:$AK$166,M$1,CAMPS18!$AQ$2:$AQ$166,$E26)</f>
        <v>0</v>
      </c>
      <c r="N26" s="201">
        <f>COUNTIFS(CAMPS18!$AK$2:$AK$166,N$1,CAMPS18!$AQ$2:$AQ$166,$E26)</f>
        <v>0</v>
      </c>
      <c r="O26" s="201">
        <f>COUNTIFS(CAMPS18!$AK$2:$AK$166,O$1,CAMPS18!$AQ$2:$AQ$166,$E26)</f>
        <v>1</v>
      </c>
      <c r="P26" s="201">
        <f>COUNTIFS(CAMPS18!$AK$2:$AK$166,P$1,CAMPS18!$AQ$2:$AQ$166,$E26)</f>
        <v>0</v>
      </c>
      <c r="Q26" s="201">
        <f>COUNTIFS(CAMPS18!$AK$2:$AK$166,Q$1,CAMPS18!$AQ$2:$AQ$166,$E26)</f>
        <v>0</v>
      </c>
      <c r="R26" s="201">
        <f>COUNTIFS(CAMPS18!$AK$2:$AK$166,R$1,CAMPS18!$AQ$2:$AQ$166,$E26)</f>
        <v>0</v>
      </c>
    </row>
    <row r="27" spans="2:18" x14ac:dyDescent="0.35">
      <c r="E27" s="208">
        <f t="shared" si="1"/>
        <v>26</v>
      </c>
      <c r="F27" s="208">
        <f t="shared" si="0"/>
        <v>0</v>
      </c>
      <c r="G27" s="201">
        <f>COUNTIFS(CAMPS18!$AK$2:$AK$166,G$1,CAMPS18!$AQ$2:$AQ$166,$E27)</f>
        <v>0</v>
      </c>
      <c r="H27" s="201">
        <f>COUNTIFS(CAMPS18!$AK$2:$AK$166,H$1,CAMPS18!$AQ$2:$AQ$166,$E27)</f>
        <v>0</v>
      </c>
      <c r="I27" s="201">
        <f>COUNTIFS(CAMPS18!$AK$2:$AK$166,I$1,CAMPS18!$AQ$2:$AQ$166,$E27)</f>
        <v>0</v>
      </c>
      <c r="J27" s="208">
        <f>COUNTIFS(CAMPS18!$AK$2:$AK$166,J$1,CAMPS18!$AQ$2:$AQ$166,$E27)</f>
        <v>0</v>
      </c>
      <c r="K27" s="201">
        <f>COUNTIFS(CAMPS18!$AK$2:$AK$166,K$1,CAMPS18!$AQ$2:$AQ$166,$E27)</f>
        <v>0</v>
      </c>
      <c r="L27" s="201">
        <f>COUNTIFS(CAMPS18!$AK$2:$AK$166,L$1,CAMPS18!$AQ$2:$AQ$166,$E27)</f>
        <v>0</v>
      </c>
      <c r="M27" s="201">
        <f>COUNTIFS(CAMPS18!$AK$2:$AK$166,M$1,CAMPS18!$AQ$2:$AQ$166,$E27)</f>
        <v>0</v>
      </c>
      <c r="N27" s="201">
        <f>COUNTIFS(CAMPS18!$AK$2:$AK$166,N$1,CAMPS18!$AQ$2:$AQ$166,$E27)</f>
        <v>0</v>
      </c>
      <c r="O27" s="201">
        <f>COUNTIFS(CAMPS18!$AK$2:$AK$166,O$1,CAMPS18!$AQ$2:$AQ$166,$E27)</f>
        <v>0</v>
      </c>
      <c r="P27" s="201">
        <f>COUNTIFS(CAMPS18!$AK$2:$AK$166,P$1,CAMPS18!$AQ$2:$AQ$166,$E27)</f>
        <v>0</v>
      </c>
      <c r="Q27" s="201">
        <f>COUNTIFS(CAMPS18!$AK$2:$AK$166,Q$1,CAMPS18!$AQ$2:$AQ$166,$E27)</f>
        <v>0</v>
      </c>
      <c r="R27" s="201">
        <f>COUNTIFS(CAMPS18!$AK$2:$AK$166,R$1,CAMPS18!$AQ$2:$AQ$166,$E27)</f>
        <v>0</v>
      </c>
    </row>
    <row r="28" spans="2:18" x14ac:dyDescent="0.35">
      <c r="E28" s="208">
        <f t="shared" si="1"/>
        <v>27</v>
      </c>
      <c r="F28" s="208">
        <f t="shared" si="0"/>
        <v>0</v>
      </c>
      <c r="G28" s="201">
        <f>COUNTIFS(CAMPS18!$AK$2:$AK$166,G$1,CAMPS18!$AQ$2:$AQ$166,$E28)</f>
        <v>0</v>
      </c>
      <c r="H28" s="201">
        <f>COUNTIFS(CAMPS18!$AK$2:$AK$166,H$1,CAMPS18!$AQ$2:$AQ$166,$E28)</f>
        <v>0</v>
      </c>
      <c r="I28" s="201">
        <f>COUNTIFS(CAMPS18!$AK$2:$AK$166,I$1,CAMPS18!$AQ$2:$AQ$166,$E28)</f>
        <v>0</v>
      </c>
      <c r="J28" s="208">
        <f>COUNTIFS(CAMPS18!$AK$2:$AK$166,J$1,CAMPS18!$AQ$2:$AQ$166,$E28)</f>
        <v>0</v>
      </c>
      <c r="K28" s="201">
        <f>COUNTIFS(CAMPS18!$AK$2:$AK$166,K$1,CAMPS18!$AQ$2:$AQ$166,$E28)</f>
        <v>0</v>
      </c>
      <c r="L28" s="201">
        <f>COUNTIFS(CAMPS18!$AK$2:$AK$166,L$1,CAMPS18!$AQ$2:$AQ$166,$E28)</f>
        <v>0</v>
      </c>
      <c r="M28" s="201">
        <f>COUNTIFS(CAMPS18!$AK$2:$AK$166,M$1,CAMPS18!$AQ$2:$AQ$166,$E28)</f>
        <v>0</v>
      </c>
      <c r="N28" s="201">
        <f>COUNTIFS(CAMPS18!$AK$2:$AK$166,N$1,CAMPS18!$AQ$2:$AQ$166,$E28)</f>
        <v>0</v>
      </c>
      <c r="O28" s="201">
        <f>COUNTIFS(CAMPS18!$AK$2:$AK$166,O$1,CAMPS18!$AQ$2:$AQ$166,$E28)</f>
        <v>0</v>
      </c>
      <c r="P28" s="201">
        <f>COUNTIFS(CAMPS18!$AK$2:$AK$166,P$1,CAMPS18!$AQ$2:$AQ$166,$E28)</f>
        <v>0</v>
      </c>
      <c r="Q28" s="201">
        <f>COUNTIFS(CAMPS18!$AK$2:$AK$166,Q$1,CAMPS18!$AQ$2:$AQ$166,$E28)</f>
        <v>0</v>
      </c>
      <c r="R28" s="201">
        <f>COUNTIFS(CAMPS18!$AK$2:$AK$166,R$1,CAMPS18!$AQ$2:$AQ$166,$E28)</f>
        <v>0</v>
      </c>
    </row>
    <row r="29" spans="2:18" x14ac:dyDescent="0.35">
      <c r="E29" s="208">
        <f t="shared" si="1"/>
        <v>28</v>
      </c>
      <c r="F29" s="208">
        <f t="shared" si="0"/>
        <v>0</v>
      </c>
      <c r="G29" s="201">
        <f>COUNTIFS(CAMPS18!$AK$2:$AK$166,G$1,CAMPS18!$AQ$2:$AQ$166,$E29)</f>
        <v>0</v>
      </c>
      <c r="H29" s="201">
        <f>COUNTIFS(CAMPS18!$AK$2:$AK$166,H$1,CAMPS18!$AQ$2:$AQ$166,$E29)</f>
        <v>0</v>
      </c>
      <c r="I29" s="201">
        <f>COUNTIFS(CAMPS18!$AK$2:$AK$166,I$1,CAMPS18!$AQ$2:$AQ$166,$E29)</f>
        <v>0</v>
      </c>
      <c r="J29" s="208">
        <f>COUNTIFS(CAMPS18!$AK$2:$AK$166,J$1,CAMPS18!$AQ$2:$AQ$166,$E29)</f>
        <v>0</v>
      </c>
      <c r="K29" s="201">
        <f>COUNTIFS(CAMPS18!$AK$2:$AK$166,K$1,CAMPS18!$AQ$2:$AQ$166,$E29)</f>
        <v>0</v>
      </c>
      <c r="L29" s="201">
        <f>COUNTIFS(CAMPS18!$AK$2:$AK$166,L$1,CAMPS18!$AQ$2:$AQ$166,$E29)</f>
        <v>0</v>
      </c>
      <c r="M29" s="201">
        <f>COUNTIFS(CAMPS18!$AK$2:$AK$166,M$1,CAMPS18!$AQ$2:$AQ$166,$E29)</f>
        <v>0</v>
      </c>
      <c r="N29" s="201">
        <f>COUNTIFS(CAMPS18!$AK$2:$AK$166,N$1,CAMPS18!$AQ$2:$AQ$166,$E29)</f>
        <v>0</v>
      </c>
      <c r="O29" s="201">
        <f>COUNTIFS(CAMPS18!$AK$2:$AK$166,O$1,CAMPS18!$AQ$2:$AQ$166,$E29)</f>
        <v>0</v>
      </c>
      <c r="P29" s="201">
        <f>COUNTIFS(CAMPS18!$AK$2:$AK$166,P$1,CAMPS18!$AQ$2:$AQ$166,$E29)</f>
        <v>0</v>
      </c>
      <c r="Q29" s="201">
        <f>COUNTIFS(CAMPS18!$AK$2:$AK$166,Q$1,CAMPS18!$AQ$2:$AQ$166,$E29)</f>
        <v>0</v>
      </c>
      <c r="R29" s="201">
        <f>COUNTIFS(CAMPS18!$AK$2:$AK$166,R$1,CAMPS18!$AQ$2:$AQ$166,$E29)</f>
        <v>0</v>
      </c>
    </row>
    <row r="30" spans="2:18" x14ac:dyDescent="0.35">
      <c r="E30" s="208">
        <f t="shared" si="1"/>
        <v>29</v>
      </c>
      <c r="F30" s="208">
        <f t="shared" si="0"/>
        <v>2</v>
      </c>
      <c r="G30" s="201">
        <f>COUNTIFS(CAMPS18!$AK$2:$AK$166,G$1,CAMPS18!$AQ$2:$AQ$166,$E30)</f>
        <v>0</v>
      </c>
      <c r="H30" s="201">
        <f>COUNTIFS(CAMPS18!$AK$2:$AK$166,H$1,CAMPS18!$AQ$2:$AQ$166,$E30)</f>
        <v>0</v>
      </c>
      <c r="I30" s="201">
        <f>COUNTIFS(CAMPS18!$AK$2:$AK$166,I$1,CAMPS18!$AQ$2:$AQ$166,$E30)</f>
        <v>0</v>
      </c>
      <c r="J30" s="208">
        <f>COUNTIFS(CAMPS18!$AK$2:$AK$166,J$1,CAMPS18!$AQ$2:$AQ$166,$E30)</f>
        <v>0</v>
      </c>
      <c r="K30" s="201">
        <f>COUNTIFS(CAMPS18!$AK$2:$AK$166,K$1,CAMPS18!$AQ$2:$AQ$166,$E30)</f>
        <v>1</v>
      </c>
      <c r="L30" s="201">
        <f>COUNTIFS(CAMPS18!$AK$2:$AK$166,L$1,CAMPS18!$AQ$2:$AQ$166,$E30)</f>
        <v>0</v>
      </c>
      <c r="M30" s="201">
        <f>COUNTIFS(CAMPS18!$AK$2:$AK$166,M$1,CAMPS18!$AQ$2:$AQ$166,$E30)</f>
        <v>0</v>
      </c>
      <c r="N30" s="201">
        <f>COUNTIFS(CAMPS18!$AK$2:$AK$166,N$1,CAMPS18!$AQ$2:$AQ$166,$E30)</f>
        <v>1</v>
      </c>
      <c r="O30" s="201">
        <f>COUNTIFS(CAMPS18!$AK$2:$AK$166,O$1,CAMPS18!$AQ$2:$AQ$166,$E30)</f>
        <v>0</v>
      </c>
      <c r="P30" s="201">
        <f>COUNTIFS(CAMPS18!$AK$2:$AK$166,P$1,CAMPS18!$AQ$2:$AQ$166,$E30)</f>
        <v>0</v>
      </c>
      <c r="Q30" s="201">
        <f>COUNTIFS(CAMPS18!$AK$2:$AK$166,Q$1,CAMPS18!$AQ$2:$AQ$166,$E30)</f>
        <v>0</v>
      </c>
      <c r="R30" s="201">
        <f>COUNTIFS(CAMPS18!$AK$2:$AK$166,R$1,CAMPS18!$AQ$2:$AQ$166,$E30)</f>
        <v>0</v>
      </c>
    </row>
    <row r="31" spans="2:18" x14ac:dyDescent="0.35">
      <c r="E31" s="208">
        <f t="shared" si="1"/>
        <v>30</v>
      </c>
      <c r="F31" s="208">
        <f t="shared" si="0"/>
        <v>5</v>
      </c>
      <c r="G31" s="201">
        <f>COUNTIFS(CAMPS18!$AK$2:$AK$166,G$1,CAMPS18!$AQ$2:$AQ$166,$E31)</f>
        <v>0</v>
      </c>
      <c r="H31" s="201">
        <f>COUNTIFS(CAMPS18!$AK$2:$AK$166,H$1,CAMPS18!$AQ$2:$AQ$166,$E31)</f>
        <v>0</v>
      </c>
      <c r="I31" s="201">
        <f>COUNTIFS(CAMPS18!$AK$2:$AK$166,I$1,CAMPS18!$AQ$2:$AQ$166,$E31)</f>
        <v>0</v>
      </c>
      <c r="J31" s="208">
        <f>COUNTIFS(CAMPS18!$AK$2:$AK$166,J$1,CAMPS18!$AQ$2:$AQ$166,$E31)</f>
        <v>0</v>
      </c>
      <c r="K31" s="201">
        <f>COUNTIFS(CAMPS18!$AK$2:$AK$166,K$1,CAMPS18!$AQ$2:$AQ$166,$E31)</f>
        <v>0</v>
      </c>
      <c r="L31" s="201">
        <f>COUNTIFS(CAMPS18!$AK$2:$AK$166,L$1,CAMPS18!$AQ$2:$AQ$166,$E31)</f>
        <v>0</v>
      </c>
      <c r="M31" s="201">
        <f>COUNTIFS(CAMPS18!$AK$2:$AK$166,M$1,CAMPS18!$AQ$2:$AQ$166,$E31)</f>
        <v>3</v>
      </c>
      <c r="N31" s="201">
        <f>COUNTIFS(CAMPS18!$AK$2:$AK$166,N$1,CAMPS18!$AQ$2:$AQ$166,$E31)</f>
        <v>0</v>
      </c>
      <c r="O31" s="201">
        <f>COUNTIFS(CAMPS18!$AK$2:$AK$166,O$1,CAMPS18!$AQ$2:$AQ$166,$E31)</f>
        <v>1</v>
      </c>
      <c r="P31" s="201">
        <f>COUNTIFS(CAMPS18!$AK$2:$AK$166,P$1,CAMPS18!$AQ$2:$AQ$166,$E31)</f>
        <v>0</v>
      </c>
      <c r="Q31" s="201">
        <f>COUNTIFS(CAMPS18!$AK$2:$AK$166,Q$1,CAMPS18!$AQ$2:$AQ$166,$E31)</f>
        <v>1</v>
      </c>
      <c r="R31" s="201">
        <f>COUNTIFS(CAMPS18!$AK$2:$AK$166,R$1,CAMPS18!$AQ$2:$AQ$166,$E31)</f>
        <v>0</v>
      </c>
    </row>
    <row r="32" spans="2:18" x14ac:dyDescent="0.35">
      <c r="E32" s="208">
        <f t="shared" si="1"/>
        <v>31</v>
      </c>
      <c r="F32" s="208">
        <f t="shared" si="0"/>
        <v>3</v>
      </c>
      <c r="G32" s="201">
        <f>COUNTIFS(CAMPS18!$AK$2:$AK$166,G$1,CAMPS18!$AQ$2:$AQ$166,$E32)</f>
        <v>0</v>
      </c>
      <c r="H32" s="201">
        <f>COUNTIFS(CAMPS18!$AK$2:$AK$166,H$1,CAMPS18!$AQ$2:$AQ$166,$E32)</f>
        <v>0</v>
      </c>
      <c r="I32" s="201">
        <f>COUNTIFS(CAMPS18!$AK$2:$AK$166,I$1,CAMPS18!$AQ$2:$AQ$166,$E32)</f>
        <v>0</v>
      </c>
      <c r="J32" s="208">
        <f>COUNTIFS(CAMPS18!$AK$2:$AK$166,J$1,CAMPS18!$AQ$2:$AQ$166,$E32)</f>
        <v>0</v>
      </c>
      <c r="K32" s="201">
        <f>COUNTIFS(CAMPS18!$AK$2:$AK$166,K$1,CAMPS18!$AQ$2:$AQ$166,$E32)</f>
        <v>0</v>
      </c>
      <c r="L32" s="201">
        <f>COUNTIFS(CAMPS18!$AK$2:$AK$166,L$1,CAMPS18!$AQ$2:$AQ$166,$E32)</f>
        <v>0</v>
      </c>
      <c r="M32" s="201">
        <f>COUNTIFS(CAMPS18!$AK$2:$AK$166,M$1,CAMPS18!$AQ$2:$AQ$166,$E32)</f>
        <v>2</v>
      </c>
      <c r="N32" s="201">
        <f>COUNTIFS(CAMPS18!$AK$2:$AK$166,N$1,CAMPS18!$AQ$2:$AQ$166,$E32)</f>
        <v>0</v>
      </c>
      <c r="O32" s="201">
        <f>COUNTIFS(CAMPS18!$AK$2:$AK$166,O$1,CAMPS18!$AQ$2:$AQ$166,$E32)</f>
        <v>0</v>
      </c>
      <c r="P32" s="201">
        <f>COUNTIFS(CAMPS18!$AK$2:$AK$166,P$1,CAMPS18!$AQ$2:$AQ$166,$E32)</f>
        <v>0</v>
      </c>
      <c r="Q32" s="201">
        <f>COUNTIFS(CAMPS18!$AK$2:$AK$166,Q$1,CAMPS18!$AQ$2:$AQ$166,$E32)</f>
        <v>1</v>
      </c>
      <c r="R32" s="201">
        <f>COUNTIFS(CAMPS18!$AK$2:$AK$166,R$1,CAMPS18!$AQ$2:$AQ$166,$E32)</f>
        <v>0</v>
      </c>
    </row>
    <row r="33" spans="5:18" x14ac:dyDescent="0.35">
      <c r="E33" s="208">
        <f t="shared" si="1"/>
        <v>32</v>
      </c>
      <c r="F33" s="208">
        <f t="shared" si="0"/>
        <v>1</v>
      </c>
      <c r="G33" s="201">
        <f>COUNTIFS(CAMPS18!$AK$2:$AK$166,G$1,CAMPS18!$AQ$2:$AQ$166,$E33)</f>
        <v>0</v>
      </c>
      <c r="H33" s="201">
        <f>COUNTIFS(CAMPS18!$AK$2:$AK$166,H$1,CAMPS18!$AQ$2:$AQ$166,$E33)</f>
        <v>0</v>
      </c>
      <c r="I33" s="201">
        <f>COUNTIFS(CAMPS18!$AK$2:$AK$166,I$1,CAMPS18!$AQ$2:$AQ$166,$E33)</f>
        <v>0</v>
      </c>
      <c r="J33" s="208">
        <f>COUNTIFS(CAMPS18!$AK$2:$AK$166,J$1,CAMPS18!$AQ$2:$AQ$166,$E33)</f>
        <v>0</v>
      </c>
      <c r="K33" s="201">
        <f>COUNTIFS(CAMPS18!$AK$2:$AK$166,K$1,CAMPS18!$AQ$2:$AQ$166,$E33)</f>
        <v>0</v>
      </c>
      <c r="L33" s="201">
        <f>COUNTIFS(CAMPS18!$AK$2:$AK$166,L$1,CAMPS18!$AQ$2:$AQ$166,$E33)</f>
        <v>0</v>
      </c>
      <c r="M33" s="201">
        <f>COUNTIFS(CAMPS18!$AK$2:$AK$166,M$1,CAMPS18!$AQ$2:$AQ$166,$E33)</f>
        <v>1</v>
      </c>
      <c r="N33" s="201">
        <f>COUNTIFS(CAMPS18!$AK$2:$AK$166,N$1,CAMPS18!$AQ$2:$AQ$166,$E33)</f>
        <v>0</v>
      </c>
      <c r="O33" s="201">
        <f>COUNTIFS(CAMPS18!$AK$2:$AK$166,O$1,CAMPS18!$AQ$2:$AQ$166,$E33)</f>
        <v>0</v>
      </c>
      <c r="P33" s="201">
        <f>COUNTIFS(CAMPS18!$AK$2:$AK$166,P$1,CAMPS18!$AQ$2:$AQ$166,$E33)</f>
        <v>0</v>
      </c>
      <c r="Q33" s="201">
        <f>COUNTIFS(CAMPS18!$AK$2:$AK$166,Q$1,CAMPS18!$AQ$2:$AQ$166,$E33)</f>
        <v>0</v>
      </c>
      <c r="R33" s="201">
        <f>COUNTIFS(CAMPS18!$AK$2:$AK$166,R$1,CAMPS18!$AQ$2:$AQ$166,$E33)</f>
        <v>0</v>
      </c>
    </row>
    <row r="34" spans="5:18" x14ac:dyDescent="0.35">
      <c r="E34" s="208">
        <f t="shared" si="1"/>
        <v>33</v>
      </c>
      <c r="F34" s="208">
        <f t="shared" si="0"/>
        <v>2</v>
      </c>
      <c r="G34" s="201">
        <f>COUNTIFS(CAMPS18!$AK$2:$AK$166,G$1,CAMPS18!$AQ$2:$AQ$166,$E34)</f>
        <v>0</v>
      </c>
      <c r="H34" s="201">
        <f>COUNTIFS(CAMPS18!$AK$2:$AK$166,H$1,CAMPS18!$AQ$2:$AQ$166,$E34)</f>
        <v>0</v>
      </c>
      <c r="I34" s="201">
        <f>COUNTIFS(CAMPS18!$AK$2:$AK$166,I$1,CAMPS18!$AQ$2:$AQ$166,$E34)</f>
        <v>0</v>
      </c>
      <c r="J34" s="208">
        <f>COUNTIFS(CAMPS18!$AK$2:$AK$166,J$1,CAMPS18!$AQ$2:$AQ$166,$E34)</f>
        <v>0</v>
      </c>
      <c r="K34" s="201">
        <f>COUNTIFS(CAMPS18!$AK$2:$AK$166,K$1,CAMPS18!$AQ$2:$AQ$166,$E34)</f>
        <v>0</v>
      </c>
      <c r="L34" s="201">
        <f>COUNTIFS(CAMPS18!$AK$2:$AK$166,L$1,CAMPS18!$AQ$2:$AQ$166,$E34)</f>
        <v>0</v>
      </c>
      <c r="M34" s="201">
        <f>COUNTIFS(CAMPS18!$AK$2:$AK$166,M$1,CAMPS18!$AQ$2:$AQ$166,$E34)</f>
        <v>2</v>
      </c>
      <c r="N34" s="201">
        <f>COUNTIFS(CAMPS18!$AK$2:$AK$166,N$1,CAMPS18!$AQ$2:$AQ$166,$E34)</f>
        <v>0</v>
      </c>
      <c r="O34" s="201">
        <f>COUNTIFS(CAMPS18!$AK$2:$AK$166,O$1,CAMPS18!$AQ$2:$AQ$166,$E34)</f>
        <v>0</v>
      </c>
      <c r="P34" s="201">
        <f>COUNTIFS(CAMPS18!$AK$2:$AK$166,P$1,CAMPS18!$AQ$2:$AQ$166,$E34)</f>
        <v>0</v>
      </c>
      <c r="Q34" s="201">
        <f>COUNTIFS(CAMPS18!$AK$2:$AK$166,Q$1,CAMPS18!$AQ$2:$AQ$166,$E34)</f>
        <v>0</v>
      </c>
      <c r="R34" s="201">
        <f>COUNTIFS(CAMPS18!$AK$2:$AK$166,R$1,CAMPS18!$AQ$2:$AQ$166,$E34)</f>
        <v>0</v>
      </c>
    </row>
    <row r="35" spans="5:18" x14ac:dyDescent="0.35">
      <c r="E35" s="208">
        <f t="shared" si="1"/>
        <v>34</v>
      </c>
      <c r="F35" s="208">
        <f t="shared" si="0"/>
        <v>6</v>
      </c>
      <c r="G35" s="201">
        <f>COUNTIFS(CAMPS18!$AK$2:$AK$166,G$1,CAMPS18!$AQ$2:$AQ$166,$E35)</f>
        <v>0</v>
      </c>
      <c r="H35" s="201">
        <f>COUNTIFS(CAMPS18!$AK$2:$AK$166,H$1,CAMPS18!$AQ$2:$AQ$166,$E35)</f>
        <v>0</v>
      </c>
      <c r="I35" s="201">
        <f>COUNTIFS(CAMPS18!$AK$2:$AK$166,I$1,CAMPS18!$AQ$2:$AQ$166,$E35)</f>
        <v>0</v>
      </c>
      <c r="J35" s="208">
        <f>COUNTIFS(CAMPS18!$AK$2:$AK$166,J$1,CAMPS18!$AQ$2:$AQ$166,$E35)</f>
        <v>0</v>
      </c>
      <c r="K35" s="201">
        <f>COUNTIFS(CAMPS18!$AK$2:$AK$166,K$1,CAMPS18!$AQ$2:$AQ$166,$E35)</f>
        <v>0</v>
      </c>
      <c r="L35" s="201">
        <f>COUNTIFS(CAMPS18!$AK$2:$AK$166,L$1,CAMPS18!$AQ$2:$AQ$166,$E35)</f>
        <v>0</v>
      </c>
      <c r="M35" s="201">
        <f>COUNTIFS(CAMPS18!$AK$2:$AK$166,M$1,CAMPS18!$AQ$2:$AQ$166,$E35)</f>
        <v>6</v>
      </c>
      <c r="N35" s="201">
        <f>COUNTIFS(CAMPS18!$AK$2:$AK$166,N$1,CAMPS18!$AQ$2:$AQ$166,$E35)</f>
        <v>0</v>
      </c>
      <c r="O35" s="201">
        <f>COUNTIFS(CAMPS18!$AK$2:$AK$166,O$1,CAMPS18!$AQ$2:$AQ$166,$E35)</f>
        <v>0</v>
      </c>
      <c r="P35" s="201">
        <f>COUNTIFS(CAMPS18!$AK$2:$AK$166,P$1,CAMPS18!$AQ$2:$AQ$166,$E35)</f>
        <v>0</v>
      </c>
      <c r="Q35" s="201">
        <f>COUNTIFS(CAMPS18!$AK$2:$AK$166,Q$1,CAMPS18!$AQ$2:$AQ$166,$E35)</f>
        <v>0</v>
      </c>
      <c r="R35" s="201">
        <f>COUNTIFS(CAMPS18!$AK$2:$AK$166,R$1,CAMPS18!$AQ$2:$AQ$166,$E35)</f>
        <v>0</v>
      </c>
    </row>
    <row r="36" spans="5:18" x14ac:dyDescent="0.35">
      <c r="E36" s="208">
        <f t="shared" si="1"/>
        <v>35</v>
      </c>
      <c r="F36" s="208">
        <f t="shared" si="0"/>
        <v>1</v>
      </c>
      <c r="G36" s="201">
        <f>COUNTIFS(CAMPS18!$AK$2:$AK$166,G$1,CAMPS18!$AQ$2:$AQ$166,$E36)</f>
        <v>0</v>
      </c>
      <c r="H36" s="201">
        <f>COUNTIFS(CAMPS18!$AK$2:$AK$166,H$1,CAMPS18!$AQ$2:$AQ$166,$E36)</f>
        <v>0</v>
      </c>
      <c r="I36" s="201">
        <f>COUNTIFS(CAMPS18!$AK$2:$AK$166,I$1,CAMPS18!$AQ$2:$AQ$166,$E36)</f>
        <v>0</v>
      </c>
      <c r="J36" s="208">
        <f>COUNTIFS(CAMPS18!$AK$2:$AK$166,J$1,CAMPS18!$AQ$2:$AQ$166,$E36)</f>
        <v>0</v>
      </c>
      <c r="K36" s="201">
        <f>COUNTIFS(CAMPS18!$AK$2:$AK$166,K$1,CAMPS18!$AQ$2:$AQ$166,$E36)</f>
        <v>0</v>
      </c>
      <c r="L36" s="201">
        <f>COUNTIFS(CAMPS18!$AK$2:$AK$166,L$1,CAMPS18!$AQ$2:$AQ$166,$E36)</f>
        <v>0</v>
      </c>
      <c r="M36" s="201">
        <f>COUNTIFS(CAMPS18!$AK$2:$AK$166,M$1,CAMPS18!$AQ$2:$AQ$166,$E36)</f>
        <v>1</v>
      </c>
      <c r="N36" s="201">
        <f>COUNTIFS(CAMPS18!$AK$2:$AK$166,N$1,CAMPS18!$AQ$2:$AQ$166,$E36)</f>
        <v>0</v>
      </c>
      <c r="O36" s="201">
        <f>COUNTIFS(CAMPS18!$AK$2:$AK$166,O$1,CAMPS18!$AQ$2:$AQ$166,$E36)</f>
        <v>0</v>
      </c>
      <c r="P36" s="201">
        <f>COUNTIFS(CAMPS18!$AK$2:$AK$166,P$1,CAMPS18!$AQ$2:$AQ$166,$E36)</f>
        <v>0</v>
      </c>
      <c r="Q36" s="201">
        <f>COUNTIFS(CAMPS18!$AK$2:$AK$166,Q$1,CAMPS18!$AQ$2:$AQ$166,$E36)</f>
        <v>0</v>
      </c>
      <c r="R36" s="201">
        <f>COUNTIFS(CAMPS18!$AK$2:$AK$166,R$1,CAMPS18!$AQ$2:$AQ$166,$E36)</f>
        <v>0</v>
      </c>
    </row>
    <row r="37" spans="5:18" x14ac:dyDescent="0.35">
      <c r="E37" s="208">
        <f t="shared" si="1"/>
        <v>36</v>
      </c>
      <c r="F37" s="208">
        <f t="shared" si="0"/>
        <v>0</v>
      </c>
      <c r="G37" s="201">
        <f>COUNTIFS(CAMPS18!$AK$2:$AK$166,G$1,CAMPS18!$AQ$2:$AQ$166,$E37)</f>
        <v>0</v>
      </c>
      <c r="H37" s="201">
        <f>COUNTIFS(CAMPS18!$AK$2:$AK$166,H$1,CAMPS18!$AQ$2:$AQ$166,$E37)</f>
        <v>0</v>
      </c>
      <c r="I37" s="201">
        <f>COUNTIFS(CAMPS18!$AK$2:$AK$166,I$1,CAMPS18!$AQ$2:$AQ$166,$E37)</f>
        <v>0</v>
      </c>
      <c r="J37" s="208">
        <f>COUNTIFS(CAMPS18!$AK$2:$AK$166,J$1,CAMPS18!$AQ$2:$AQ$166,$E37)</f>
        <v>0</v>
      </c>
      <c r="K37" s="201">
        <f>COUNTIFS(CAMPS18!$AK$2:$AK$166,K$1,CAMPS18!$AQ$2:$AQ$166,$E37)</f>
        <v>0</v>
      </c>
      <c r="L37" s="201">
        <f>COUNTIFS(CAMPS18!$AK$2:$AK$166,L$1,CAMPS18!$AQ$2:$AQ$166,$E37)</f>
        <v>0</v>
      </c>
      <c r="M37" s="201">
        <f>COUNTIFS(CAMPS18!$AK$2:$AK$166,M$1,CAMPS18!$AQ$2:$AQ$166,$E37)</f>
        <v>0</v>
      </c>
      <c r="N37" s="201">
        <f>COUNTIFS(CAMPS18!$AK$2:$AK$166,N$1,CAMPS18!$AQ$2:$AQ$166,$E37)</f>
        <v>0</v>
      </c>
      <c r="O37" s="201">
        <f>COUNTIFS(CAMPS18!$AK$2:$AK$166,O$1,CAMPS18!$AQ$2:$AQ$166,$E37)</f>
        <v>0</v>
      </c>
      <c r="P37" s="201">
        <f>COUNTIFS(CAMPS18!$AK$2:$AK$166,P$1,CAMPS18!$AQ$2:$AQ$166,$E37)</f>
        <v>0</v>
      </c>
      <c r="Q37" s="201">
        <f>COUNTIFS(CAMPS18!$AK$2:$AK$166,Q$1,CAMPS18!$AQ$2:$AQ$166,$E37)</f>
        <v>0</v>
      </c>
      <c r="R37" s="201">
        <f>COUNTIFS(CAMPS18!$AK$2:$AK$166,R$1,CAMPS18!$AQ$2:$AQ$166,$E37)</f>
        <v>0</v>
      </c>
    </row>
    <row r="38" spans="5:18" x14ac:dyDescent="0.35">
      <c r="E38" s="208">
        <f t="shared" si="1"/>
        <v>37</v>
      </c>
      <c r="F38" s="208">
        <f t="shared" si="0"/>
        <v>1</v>
      </c>
      <c r="G38" s="201">
        <f>COUNTIFS(CAMPS18!$AK$2:$AK$166,G$1,CAMPS18!$AQ$2:$AQ$166,$E38)</f>
        <v>0</v>
      </c>
      <c r="H38" s="201">
        <f>COUNTIFS(CAMPS18!$AK$2:$AK$166,H$1,CAMPS18!$AQ$2:$AQ$166,$E38)</f>
        <v>0</v>
      </c>
      <c r="I38" s="201">
        <f>COUNTIFS(CAMPS18!$AK$2:$AK$166,I$1,CAMPS18!$AQ$2:$AQ$166,$E38)</f>
        <v>0</v>
      </c>
      <c r="J38" s="208">
        <f>COUNTIFS(CAMPS18!$AK$2:$AK$166,J$1,CAMPS18!$AQ$2:$AQ$166,$E38)</f>
        <v>1</v>
      </c>
      <c r="K38" s="201">
        <f>COUNTIFS(CAMPS18!$AK$2:$AK$166,K$1,CAMPS18!$AQ$2:$AQ$166,$E38)</f>
        <v>0</v>
      </c>
      <c r="L38" s="201">
        <f>COUNTIFS(CAMPS18!$AK$2:$AK$166,L$1,CAMPS18!$AQ$2:$AQ$166,$E38)</f>
        <v>0</v>
      </c>
      <c r="M38" s="201">
        <f>COUNTIFS(CAMPS18!$AK$2:$AK$166,M$1,CAMPS18!$AQ$2:$AQ$166,$E38)</f>
        <v>0</v>
      </c>
      <c r="N38" s="201">
        <f>COUNTIFS(CAMPS18!$AK$2:$AK$166,N$1,CAMPS18!$AQ$2:$AQ$166,$E38)</f>
        <v>0</v>
      </c>
      <c r="O38" s="201">
        <f>COUNTIFS(CAMPS18!$AK$2:$AK$166,O$1,CAMPS18!$AQ$2:$AQ$166,$E38)</f>
        <v>0</v>
      </c>
      <c r="P38" s="201">
        <f>COUNTIFS(CAMPS18!$AK$2:$AK$166,P$1,CAMPS18!$AQ$2:$AQ$166,$E38)</f>
        <v>0</v>
      </c>
      <c r="Q38" s="201">
        <f>COUNTIFS(CAMPS18!$AK$2:$AK$166,Q$1,CAMPS18!$AQ$2:$AQ$166,$E38)</f>
        <v>0</v>
      </c>
      <c r="R38" s="201">
        <f>COUNTIFS(CAMPS18!$AK$2:$AK$166,R$1,CAMPS18!$AQ$2:$AQ$166,$E38)</f>
        <v>0</v>
      </c>
    </row>
    <row r="39" spans="5:18" x14ac:dyDescent="0.35">
      <c r="E39" s="208">
        <f t="shared" si="1"/>
        <v>38</v>
      </c>
      <c r="F39" s="208">
        <f t="shared" si="0"/>
        <v>2</v>
      </c>
      <c r="G39" s="201">
        <f>COUNTIFS(CAMPS18!$AK$2:$AK$166,G$1,CAMPS18!$AQ$2:$AQ$166,$E39)</f>
        <v>0</v>
      </c>
      <c r="H39" s="201">
        <f>COUNTIFS(CAMPS18!$AK$2:$AK$166,H$1,CAMPS18!$AQ$2:$AQ$166,$E39)</f>
        <v>0</v>
      </c>
      <c r="I39" s="201">
        <f>COUNTIFS(CAMPS18!$AK$2:$AK$166,I$1,CAMPS18!$AQ$2:$AQ$166,$E39)</f>
        <v>0</v>
      </c>
      <c r="J39" s="208">
        <f>COUNTIFS(CAMPS18!$AK$2:$AK$166,J$1,CAMPS18!$AQ$2:$AQ$166,$E39)</f>
        <v>0</v>
      </c>
      <c r="K39" s="201">
        <f>COUNTIFS(CAMPS18!$AK$2:$AK$166,K$1,CAMPS18!$AQ$2:$AQ$166,$E39)</f>
        <v>0</v>
      </c>
      <c r="L39" s="201">
        <f>COUNTIFS(CAMPS18!$AK$2:$AK$166,L$1,CAMPS18!$AQ$2:$AQ$166,$E39)</f>
        <v>0</v>
      </c>
      <c r="M39" s="201">
        <f>COUNTIFS(CAMPS18!$AK$2:$AK$166,M$1,CAMPS18!$AQ$2:$AQ$166,$E39)</f>
        <v>1</v>
      </c>
      <c r="N39" s="201">
        <f>COUNTIFS(CAMPS18!$AK$2:$AK$166,N$1,CAMPS18!$AQ$2:$AQ$166,$E39)</f>
        <v>0</v>
      </c>
      <c r="O39" s="201">
        <f>COUNTIFS(CAMPS18!$AK$2:$AK$166,O$1,CAMPS18!$AQ$2:$AQ$166,$E39)</f>
        <v>0</v>
      </c>
      <c r="P39" s="201">
        <f>COUNTIFS(CAMPS18!$AK$2:$AK$166,P$1,CAMPS18!$AQ$2:$AQ$166,$E39)</f>
        <v>1</v>
      </c>
      <c r="Q39" s="201">
        <f>COUNTIFS(CAMPS18!$AK$2:$AK$166,Q$1,CAMPS18!$AQ$2:$AQ$166,$E39)</f>
        <v>0</v>
      </c>
      <c r="R39" s="201">
        <f>COUNTIFS(CAMPS18!$AK$2:$AK$166,R$1,CAMPS18!$AQ$2:$AQ$166,$E39)</f>
        <v>0</v>
      </c>
    </row>
    <row r="40" spans="5:18" x14ac:dyDescent="0.35">
      <c r="E40" s="208">
        <f t="shared" si="1"/>
        <v>39</v>
      </c>
      <c r="F40" s="208">
        <f t="shared" si="0"/>
        <v>1</v>
      </c>
      <c r="G40" s="201">
        <f>COUNTIFS(CAMPS18!$AK$2:$AK$166,G$1,CAMPS18!$AQ$2:$AQ$166,$E40)</f>
        <v>0</v>
      </c>
      <c r="H40" s="201">
        <f>COUNTIFS(CAMPS18!$AK$2:$AK$166,H$1,CAMPS18!$AQ$2:$AQ$166,$E40)</f>
        <v>0</v>
      </c>
      <c r="I40" s="201">
        <f>COUNTIFS(CAMPS18!$AK$2:$AK$166,I$1,CAMPS18!$AQ$2:$AQ$166,$E40)</f>
        <v>0</v>
      </c>
      <c r="J40" s="208">
        <f>COUNTIFS(CAMPS18!$AK$2:$AK$166,J$1,CAMPS18!$AQ$2:$AQ$166,$E40)</f>
        <v>0</v>
      </c>
      <c r="K40" s="201">
        <f>COUNTIFS(CAMPS18!$AK$2:$AK$166,K$1,CAMPS18!$AQ$2:$AQ$166,$E40)</f>
        <v>0</v>
      </c>
      <c r="L40" s="201">
        <f>COUNTIFS(CAMPS18!$AK$2:$AK$166,L$1,CAMPS18!$AQ$2:$AQ$166,$E40)</f>
        <v>0</v>
      </c>
      <c r="M40" s="201">
        <f>COUNTIFS(CAMPS18!$AK$2:$AK$166,M$1,CAMPS18!$AQ$2:$AQ$166,$E40)</f>
        <v>0</v>
      </c>
      <c r="N40" s="201">
        <f>COUNTIFS(CAMPS18!$AK$2:$AK$166,N$1,CAMPS18!$AQ$2:$AQ$166,$E40)</f>
        <v>0</v>
      </c>
      <c r="O40" s="201">
        <f>COUNTIFS(CAMPS18!$AK$2:$AK$166,O$1,CAMPS18!$AQ$2:$AQ$166,$E40)</f>
        <v>1</v>
      </c>
      <c r="P40" s="201">
        <f>COUNTIFS(CAMPS18!$AK$2:$AK$166,P$1,CAMPS18!$AQ$2:$AQ$166,$E40)</f>
        <v>0</v>
      </c>
      <c r="Q40" s="201">
        <f>COUNTIFS(CAMPS18!$AK$2:$AK$166,Q$1,CAMPS18!$AQ$2:$AQ$166,$E40)</f>
        <v>0</v>
      </c>
      <c r="R40" s="201">
        <f>COUNTIFS(CAMPS18!$AK$2:$AK$166,R$1,CAMPS18!$AQ$2:$AQ$166,$E40)</f>
        <v>0</v>
      </c>
    </row>
    <row r="41" spans="5:18" x14ac:dyDescent="0.35">
      <c r="E41" s="208">
        <f t="shared" si="1"/>
        <v>40</v>
      </c>
      <c r="F41" s="208">
        <f t="shared" si="0"/>
        <v>0</v>
      </c>
      <c r="G41" s="201">
        <f>COUNTIFS(CAMPS18!$AK$2:$AK$166,G$1,CAMPS18!$AQ$2:$AQ$166,$E41)</f>
        <v>0</v>
      </c>
      <c r="H41" s="201">
        <f>COUNTIFS(CAMPS18!$AK$2:$AK$166,H$1,CAMPS18!$AQ$2:$AQ$166,$E41)</f>
        <v>0</v>
      </c>
      <c r="I41" s="201">
        <f>COUNTIFS(CAMPS18!$AK$2:$AK$166,I$1,CAMPS18!$AQ$2:$AQ$166,$E41)</f>
        <v>0</v>
      </c>
      <c r="J41" s="208">
        <f>COUNTIFS(CAMPS18!$AK$2:$AK$166,J$1,CAMPS18!$AQ$2:$AQ$166,$E41)</f>
        <v>0</v>
      </c>
      <c r="K41" s="201">
        <f>COUNTIFS(CAMPS18!$AK$2:$AK$166,K$1,CAMPS18!$AQ$2:$AQ$166,$E41)</f>
        <v>0</v>
      </c>
      <c r="L41" s="201">
        <f>COUNTIFS(CAMPS18!$AK$2:$AK$166,L$1,CAMPS18!$AQ$2:$AQ$166,$E41)</f>
        <v>0</v>
      </c>
      <c r="M41" s="201">
        <f>COUNTIFS(CAMPS18!$AK$2:$AK$166,M$1,CAMPS18!$AQ$2:$AQ$166,$E41)</f>
        <v>0</v>
      </c>
      <c r="N41" s="201">
        <f>COUNTIFS(CAMPS18!$AK$2:$AK$166,N$1,CAMPS18!$AQ$2:$AQ$166,$E41)</f>
        <v>0</v>
      </c>
      <c r="O41" s="201">
        <f>COUNTIFS(CAMPS18!$AK$2:$AK$166,O$1,CAMPS18!$AQ$2:$AQ$166,$E41)</f>
        <v>0</v>
      </c>
      <c r="P41" s="201">
        <f>COUNTIFS(CAMPS18!$AK$2:$AK$166,P$1,CAMPS18!$AQ$2:$AQ$166,$E41)</f>
        <v>0</v>
      </c>
      <c r="Q41" s="201">
        <f>COUNTIFS(CAMPS18!$AK$2:$AK$166,Q$1,CAMPS18!$AQ$2:$AQ$166,$E41)</f>
        <v>0</v>
      </c>
      <c r="R41" s="201">
        <f>COUNTIFS(CAMPS18!$AK$2:$AK$166,R$1,CAMPS18!$AQ$2:$AQ$166,$E41)</f>
        <v>0</v>
      </c>
    </row>
    <row r="42" spans="5:18" x14ac:dyDescent="0.35">
      <c r="E42" s="208">
        <f t="shared" si="1"/>
        <v>41</v>
      </c>
      <c r="F42" s="208">
        <f t="shared" si="0"/>
        <v>0</v>
      </c>
      <c r="G42" s="201">
        <f>COUNTIFS(CAMPS18!$AK$2:$AK$166,G$1,CAMPS18!$AQ$2:$AQ$166,$E42)</f>
        <v>0</v>
      </c>
      <c r="H42" s="201">
        <f>COUNTIFS(CAMPS18!$AK$2:$AK$166,H$1,CAMPS18!$AQ$2:$AQ$166,$E42)</f>
        <v>0</v>
      </c>
      <c r="I42" s="201">
        <f>COUNTIFS(CAMPS18!$AK$2:$AK$166,I$1,CAMPS18!$AQ$2:$AQ$166,$E42)</f>
        <v>0</v>
      </c>
      <c r="J42" s="208">
        <f>COUNTIFS(CAMPS18!$AK$2:$AK$166,J$1,CAMPS18!$AQ$2:$AQ$166,$E42)</f>
        <v>0</v>
      </c>
      <c r="K42" s="201">
        <f>COUNTIFS(CAMPS18!$AK$2:$AK$166,K$1,CAMPS18!$AQ$2:$AQ$166,$E42)</f>
        <v>0</v>
      </c>
      <c r="L42" s="201">
        <f>COUNTIFS(CAMPS18!$AK$2:$AK$166,L$1,CAMPS18!$AQ$2:$AQ$166,$E42)</f>
        <v>0</v>
      </c>
      <c r="M42" s="201">
        <f>COUNTIFS(CAMPS18!$AK$2:$AK$166,M$1,CAMPS18!$AQ$2:$AQ$166,$E42)</f>
        <v>0</v>
      </c>
      <c r="N42" s="201">
        <f>COUNTIFS(CAMPS18!$AK$2:$AK$166,N$1,CAMPS18!$AQ$2:$AQ$166,$E42)</f>
        <v>0</v>
      </c>
      <c r="O42" s="201">
        <f>COUNTIFS(CAMPS18!$AK$2:$AK$166,O$1,CAMPS18!$AQ$2:$AQ$166,$E42)</f>
        <v>0</v>
      </c>
      <c r="P42" s="201">
        <f>COUNTIFS(CAMPS18!$AK$2:$AK$166,P$1,CAMPS18!$AQ$2:$AQ$166,$E42)</f>
        <v>0</v>
      </c>
      <c r="Q42" s="201">
        <f>COUNTIFS(CAMPS18!$AK$2:$AK$166,Q$1,CAMPS18!$AQ$2:$AQ$166,$E42)</f>
        <v>0</v>
      </c>
      <c r="R42" s="201">
        <f>COUNTIFS(CAMPS18!$AK$2:$AK$166,R$1,CAMPS18!$AQ$2:$AQ$166,$E42)</f>
        <v>0</v>
      </c>
    </row>
    <row r="43" spans="5:18" x14ac:dyDescent="0.35">
      <c r="E43" s="208">
        <f t="shared" si="1"/>
        <v>42</v>
      </c>
      <c r="F43" s="208">
        <f t="shared" si="0"/>
        <v>1</v>
      </c>
      <c r="G43" s="201">
        <f>COUNTIFS(CAMPS18!$AK$2:$AK$166,G$1,CAMPS18!$AQ$2:$AQ$166,$E43)</f>
        <v>0</v>
      </c>
      <c r="H43" s="201">
        <f>COUNTIFS(CAMPS18!$AK$2:$AK$166,H$1,CAMPS18!$AQ$2:$AQ$166,$E43)</f>
        <v>0</v>
      </c>
      <c r="I43" s="201">
        <f>COUNTIFS(CAMPS18!$AK$2:$AK$166,I$1,CAMPS18!$AQ$2:$AQ$166,$E43)</f>
        <v>0</v>
      </c>
      <c r="J43" s="208">
        <f>COUNTIFS(CAMPS18!$AK$2:$AK$166,J$1,CAMPS18!$AQ$2:$AQ$166,$E43)</f>
        <v>1</v>
      </c>
      <c r="K43" s="201">
        <f>COUNTIFS(CAMPS18!$AK$2:$AK$166,K$1,CAMPS18!$AQ$2:$AQ$166,$E43)</f>
        <v>0</v>
      </c>
      <c r="L43" s="201">
        <f>COUNTIFS(CAMPS18!$AK$2:$AK$166,L$1,CAMPS18!$AQ$2:$AQ$166,$E43)</f>
        <v>0</v>
      </c>
      <c r="M43" s="201">
        <f>COUNTIFS(CAMPS18!$AK$2:$AK$166,M$1,CAMPS18!$AQ$2:$AQ$166,$E43)</f>
        <v>0</v>
      </c>
      <c r="N43" s="201">
        <f>COUNTIFS(CAMPS18!$AK$2:$AK$166,N$1,CAMPS18!$AQ$2:$AQ$166,$E43)</f>
        <v>0</v>
      </c>
      <c r="O43" s="201">
        <f>COUNTIFS(CAMPS18!$AK$2:$AK$166,O$1,CAMPS18!$AQ$2:$AQ$166,$E43)</f>
        <v>0</v>
      </c>
      <c r="P43" s="201">
        <f>COUNTIFS(CAMPS18!$AK$2:$AK$166,P$1,CAMPS18!$AQ$2:$AQ$166,$E43)</f>
        <v>0</v>
      </c>
      <c r="Q43" s="201">
        <f>COUNTIFS(CAMPS18!$AK$2:$AK$166,Q$1,CAMPS18!$AQ$2:$AQ$166,$E43)</f>
        <v>0</v>
      </c>
      <c r="R43" s="201">
        <f>COUNTIFS(CAMPS18!$AK$2:$AK$166,R$1,CAMPS18!$AQ$2:$AQ$166,$E43)</f>
        <v>0</v>
      </c>
    </row>
    <row r="44" spans="5:18" x14ac:dyDescent="0.35">
      <c r="E44" s="208">
        <f t="shared" si="1"/>
        <v>43</v>
      </c>
      <c r="F44" s="208">
        <f t="shared" si="0"/>
        <v>0</v>
      </c>
      <c r="G44" s="201">
        <f>COUNTIFS(CAMPS18!$AK$2:$AK$166,G$1,CAMPS18!$AQ$2:$AQ$166,$E44)</f>
        <v>0</v>
      </c>
      <c r="H44" s="201">
        <f>COUNTIFS(CAMPS18!$AK$2:$AK$166,H$1,CAMPS18!$AQ$2:$AQ$166,$E44)</f>
        <v>0</v>
      </c>
      <c r="I44" s="201">
        <f>COUNTIFS(CAMPS18!$AK$2:$AK$166,I$1,CAMPS18!$AQ$2:$AQ$166,$E44)</f>
        <v>0</v>
      </c>
      <c r="J44" s="208">
        <f>COUNTIFS(CAMPS18!$AK$2:$AK$166,J$1,CAMPS18!$AQ$2:$AQ$166,$E44)</f>
        <v>0</v>
      </c>
      <c r="K44" s="201">
        <f>COUNTIFS(CAMPS18!$AK$2:$AK$166,K$1,CAMPS18!$AQ$2:$AQ$166,$E44)</f>
        <v>0</v>
      </c>
      <c r="L44" s="201">
        <f>COUNTIFS(CAMPS18!$AK$2:$AK$166,L$1,CAMPS18!$AQ$2:$AQ$166,$E44)</f>
        <v>0</v>
      </c>
      <c r="M44" s="201">
        <f>COUNTIFS(CAMPS18!$AK$2:$AK$166,M$1,CAMPS18!$AQ$2:$AQ$166,$E44)</f>
        <v>0</v>
      </c>
      <c r="N44" s="201">
        <f>COUNTIFS(CAMPS18!$AK$2:$AK$166,N$1,CAMPS18!$AQ$2:$AQ$166,$E44)</f>
        <v>0</v>
      </c>
      <c r="O44" s="201">
        <f>COUNTIFS(CAMPS18!$AK$2:$AK$166,O$1,CAMPS18!$AQ$2:$AQ$166,$E44)</f>
        <v>0</v>
      </c>
      <c r="P44" s="201">
        <f>COUNTIFS(CAMPS18!$AK$2:$AK$166,P$1,CAMPS18!$AQ$2:$AQ$166,$E44)</f>
        <v>0</v>
      </c>
      <c r="Q44" s="201">
        <f>COUNTIFS(CAMPS18!$AK$2:$AK$166,Q$1,CAMPS18!$AQ$2:$AQ$166,$E44)</f>
        <v>0</v>
      </c>
      <c r="R44" s="201">
        <f>COUNTIFS(CAMPS18!$AK$2:$AK$166,R$1,CAMPS18!$AQ$2:$AQ$166,$E44)</f>
        <v>0</v>
      </c>
    </row>
    <row r="45" spans="5:18" x14ac:dyDescent="0.35">
      <c r="E45" s="208">
        <f t="shared" si="1"/>
        <v>44</v>
      </c>
      <c r="F45" s="208">
        <f t="shared" si="0"/>
        <v>0</v>
      </c>
      <c r="G45" s="201">
        <f>COUNTIFS(CAMPS18!$AK$2:$AK$166,G$1,CAMPS18!$AQ$2:$AQ$166,$E45)</f>
        <v>0</v>
      </c>
      <c r="H45" s="201">
        <f>COUNTIFS(CAMPS18!$AK$2:$AK$166,H$1,CAMPS18!$AQ$2:$AQ$166,$E45)</f>
        <v>0</v>
      </c>
      <c r="I45" s="201">
        <f>COUNTIFS(CAMPS18!$AK$2:$AK$166,I$1,CAMPS18!$AQ$2:$AQ$166,$E45)</f>
        <v>0</v>
      </c>
      <c r="J45" s="208">
        <f>COUNTIFS(CAMPS18!$AK$2:$AK$166,J$1,CAMPS18!$AQ$2:$AQ$166,$E45)</f>
        <v>0</v>
      </c>
      <c r="K45" s="201">
        <f>COUNTIFS(CAMPS18!$AK$2:$AK$166,K$1,CAMPS18!$AQ$2:$AQ$166,$E45)</f>
        <v>0</v>
      </c>
      <c r="L45" s="201">
        <f>COUNTIFS(CAMPS18!$AK$2:$AK$166,L$1,CAMPS18!$AQ$2:$AQ$166,$E45)</f>
        <v>0</v>
      </c>
      <c r="M45" s="201">
        <f>COUNTIFS(CAMPS18!$AK$2:$AK$166,M$1,CAMPS18!$AQ$2:$AQ$166,$E45)</f>
        <v>0</v>
      </c>
      <c r="N45" s="201">
        <f>COUNTIFS(CAMPS18!$AK$2:$AK$166,N$1,CAMPS18!$AQ$2:$AQ$166,$E45)</f>
        <v>0</v>
      </c>
      <c r="O45" s="201">
        <f>COUNTIFS(CAMPS18!$AK$2:$AK$166,O$1,CAMPS18!$AQ$2:$AQ$166,$E45)</f>
        <v>0</v>
      </c>
      <c r="P45" s="201">
        <f>COUNTIFS(CAMPS18!$AK$2:$AK$166,P$1,CAMPS18!$AQ$2:$AQ$166,$E45)</f>
        <v>0</v>
      </c>
      <c r="Q45" s="201">
        <f>COUNTIFS(CAMPS18!$AK$2:$AK$166,Q$1,CAMPS18!$AQ$2:$AQ$166,$E45)</f>
        <v>0</v>
      </c>
      <c r="R45" s="201">
        <f>COUNTIFS(CAMPS18!$AK$2:$AK$166,R$1,CAMPS18!$AQ$2:$AQ$166,$E45)</f>
        <v>0</v>
      </c>
    </row>
    <row r="46" spans="5:18" x14ac:dyDescent="0.35">
      <c r="E46" s="208">
        <f t="shared" si="1"/>
        <v>45</v>
      </c>
      <c r="F46" s="208">
        <f t="shared" si="0"/>
        <v>1</v>
      </c>
      <c r="G46" s="201">
        <f>COUNTIFS(CAMPS18!$AK$2:$AK$166,G$1,CAMPS18!$AQ$2:$AQ$166,$E46)</f>
        <v>0</v>
      </c>
      <c r="H46" s="201">
        <f>COUNTIFS(CAMPS18!$AK$2:$AK$166,H$1,CAMPS18!$AQ$2:$AQ$166,$E46)</f>
        <v>0</v>
      </c>
      <c r="I46" s="201">
        <f>COUNTIFS(CAMPS18!$AK$2:$AK$166,I$1,CAMPS18!$AQ$2:$AQ$166,$E46)</f>
        <v>0</v>
      </c>
      <c r="J46" s="208">
        <f>COUNTIFS(CAMPS18!$AK$2:$AK$166,J$1,CAMPS18!$AQ$2:$AQ$166,$E46)</f>
        <v>0</v>
      </c>
      <c r="K46" s="201">
        <f>COUNTIFS(CAMPS18!$AK$2:$AK$166,K$1,CAMPS18!$AQ$2:$AQ$166,$E46)</f>
        <v>0</v>
      </c>
      <c r="L46" s="201">
        <f>COUNTIFS(CAMPS18!$AK$2:$AK$166,L$1,CAMPS18!$AQ$2:$AQ$166,$E46)</f>
        <v>0</v>
      </c>
      <c r="M46" s="201">
        <f>COUNTIFS(CAMPS18!$AK$2:$AK$166,M$1,CAMPS18!$AQ$2:$AQ$166,$E46)</f>
        <v>1</v>
      </c>
      <c r="N46" s="201">
        <f>COUNTIFS(CAMPS18!$AK$2:$AK$166,N$1,CAMPS18!$AQ$2:$AQ$166,$E46)</f>
        <v>0</v>
      </c>
      <c r="O46" s="201">
        <f>COUNTIFS(CAMPS18!$AK$2:$AK$166,O$1,CAMPS18!$AQ$2:$AQ$166,$E46)</f>
        <v>0</v>
      </c>
      <c r="P46" s="201">
        <f>COUNTIFS(CAMPS18!$AK$2:$AK$166,P$1,CAMPS18!$AQ$2:$AQ$166,$E46)</f>
        <v>0</v>
      </c>
      <c r="Q46" s="201">
        <f>COUNTIFS(CAMPS18!$AK$2:$AK$166,Q$1,CAMPS18!$AQ$2:$AQ$166,$E46)</f>
        <v>0</v>
      </c>
      <c r="R46" s="201">
        <f>COUNTIFS(CAMPS18!$AK$2:$AK$166,R$1,CAMPS18!$AQ$2:$AQ$166,$E46)</f>
        <v>0</v>
      </c>
    </row>
    <row r="47" spans="5:18" x14ac:dyDescent="0.35">
      <c r="E47" s="208">
        <f t="shared" si="1"/>
        <v>46</v>
      </c>
      <c r="F47" s="208">
        <f t="shared" si="0"/>
        <v>1</v>
      </c>
      <c r="G47" s="201">
        <f>COUNTIFS(CAMPS18!$AK$2:$AK$166,G$1,CAMPS18!$AQ$2:$AQ$166,$E47)</f>
        <v>0</v>
      </c>
      <c r="H47" s="201">
        <f>COUNTIFS(CAMPS18!$AK$2:$AK$166,H$1,CAMPS18!$AQ$2:$AQ$166,$E47)</f>
        <v>0</v>
      </c>
      <c r="I47" s="201">
        <f>COUNTIFS(CAMPS18!$AK$2:$AK$166,I$1,CAMPS18!$AQ$2:$AQ$166,$E47)</f>
        <v>0</v>
      </c>
      <c r="J47" s="208">
        <f>COUNTIFS(CAMPS18!$AK$2:$AK$166,J$1,CAMPS18!$AQ$2:$AQ$166,$E47)</f>
        <v>0</v>
      </c>
      <c r="K47" s="201">
        <f>COUNTIFS(CAMPS18!$AK$2:$AK$166,K$1,CAMPS18!$AQ$2:$AQ$166,$E47)</f>
        <v>0</v>
      </c>
      <c r="L47" s="201">
        <f>COUNTIFS(CAMPS18!$AK$2:$AK$166,L$1,CAMPS18!$AQ$2:$AQ$166,$E47)</f>
        <v>0</v>
      </c>
      <c r="M47" s="201">
        <f>COUNTIFS(CAMPS18!$AK$2:$AK$166,M$1,CAMPS18!$AQ$2:$AQ$166,$E47)</f>
        <v>1</v>
      </c>
      <c r="N47" s="201">
        <f>COUNTIFS(CAMPS18!$AK$2:$AK$166,N$1,CAMPS18!$AQ$2:$AQ$166,$E47)</f>
        <v>0</v>
      </c>
      <c r="O47" s="201">
        <f>COUNTIFS(CAMPS18!$AK$2:$AK$166,O$1,CAMPS18!$AQ$2:$AQ$166,$E47)</f>
        <v>0</v>
      </c>
      <c r="P47" s="201">
        <f>COUNTIFS(CAMPS18!$AK$2:$AK$166,P$1,CAMPS18!$AQ$2:$AQ$166,$E47)</f>
        <v>0</v>
      </c>
      <c r="Q47" s="201">
        <f>COUNTIFS(CAMPS18!$AK$2:$AK$166,Q$1,CAMPS18!$AQ$2:$AQ$166,$E47)</f>
        <v>0</v>
      </c>
      <c r="R47" s="201">
        <f>COUNTIFS(CAMPS18!$AK$2:$AK$166,R$1,CAMPS18!$AQ$2:$AQ$166,$E47)</f>
        <v>0</v>
      </c>
    </row>
    <row r="48" spans="5:18" x14ac:dyDescent="0.35">
      <c r="E48" s="208">
        <f t="shared" si="1"/>
        <v>47</v>
      </c>
      <c r="F48" s="208">
        <f t="shared" si="0"/>
        <v>0</v>
      </c>
      <c r="G48" s="201">
        <f>COUNTIFS(CAMPS18!$AK$2:$AK$166,G$1,CAMPS18!$AQ$2:$AQ$166,$E48)</f>
        <v>0</v>
      </c>
      <c r="H48" s="201">
        <f>COUNTIFS(CAMPS18!$AK$2:$AK$166,H$1,CAMPS18!$AQ$2:$AQ$166,$E48)</f>
        <v>0</v>
      </c>
      <c r="I48" s="201">
        <f>COUNTIFS(CAMPS18!$AK$2:$AK$166,I$1,CAMPS18!$AQ$2:$AQ$166,$E48)</f>
        <v>0</v>
      </c>
      <c r="J48" s="208">
        <f>COUNTIFS(CAMPS18!$AK$2:$AK$166,J$1,CAMPS18!$AQ$2:$AQ$166,$E48)</f>
        <v>0</v>
      </c>
      <c r="K48" s="201">
        <f>COUNTIFS(CAMPS18!$AK$2:$AK$166,K$1,CAMPS18!$AQ$2:$AQ$166,$E48)</f>
        <v>0</v>
      </c>
      <c r="L48" s="201">
        <f>COUNTIFS(CAMPS18!$AK$2:$AK$166,L$1,CAMPS18!$AQ$2:$AQ$166,$E48)</f>
        <v>0</v>
      </c>
      <c r="M48" s="201">
        <f>COUNTIFS(CAMPS18!$AK$2:$AK$166,M$1,CAMPS18!$AQ$2:$AQ$166,$E48)</f>
        <v>0</v>
      </c>
      <c r="N48" s="201">
        <f>COUNTIFS(CAMPS18!$AK$2:$AK$166,N$1,CAMPS18!$AQ$2:$AQ$166,$E48)</f>
        <v>0</v>
      </c>
      <c r="O48" s="201">
        <f>COUNTIFS(CAMPS18!$AK$2:$AK$166,O$1,CAMPS18!$AQ$2:$AQ$166,$E48)</f>
        <v>0</v>
      </c>
      <c r="P48" s="201">
        <f>COUNTIFS(CAMPS18!$AK$2:$AK$166,P$1,CAMPS18!$AQ$2:$AQ$166,$E48)</f>
        <v>0</v>
      </c>
      <c r="Q48" s="201">
        <f>COUNTIFS(CAMPS18!$AK$2:$AK$166,Q$1,CAMPS18!$AQ$2:$AQ$166,$E48)</f>
        <v>0</v>
      </c>
      <c r="R48" s="201">
        <f>COUNTIFS(CAMPS18!$AK$2:$AK$166,R$1,CAMPS18!$AQ$2:$AQ$166,$E48)</f>
        <v>0</v>
      </c>
    </row>
    <row r="49" spans="5:18" x14ac:dyDescent="0.35">
      <c r="E49" s="208">
        <f t="shared" si="1"/>
        <v>48</v>
      </c>
      <c r="F49" s="208">
        <f t="shared" si="0"/>
        <v>2</v>
      </c>
      <c r="G49" s="201">
        <f>COUNTIFS(CAMPS18!$AK$2:$AK$166,G$1,CAMPS18!$AQ$2:$AQ$166,$E49)</f>
        <v>0</v>
      </c>
      <c r="H49" s="201">
        <f>COUNTIFS(CAMPS18!$AK$2:$AK$166,H$1,CAMPS18!$AQ$2:$AQ$166,$E49)</f>
        <v>0</v>
      </c>
      <c r="I49" s="201">
        <f>COUNTIFS(CAMPS18!$AK$2:$AK$166,I$1,CAMPS18!$AQ$2:$AQ$166,$E49)</f>
        <v>0</v>
      </c>
      <c r="J49" s="208">
        <f>COUNTIFS(CAMPS18!$AK$2:$AK$166,J$1,CAMPS18!$AQ$2:$AQ$166,$E49)</f>
        <v>1</v>
      </c>
      <c r="K49" s="201">
        <f>COUNTIFS(CAMPS18!$AK$2:$AK$166,K$1,CAMPS18!$AQ$2:$AQ$166,$E49)</f>
        <v>0</v>
      </c>
      <c r="L49" s="201">
        <f>COUNTIFS(CAMPS18!$AK$2:$AK$166,L$1,CAMPS18!$AQ$2:$AQ$166,$E49)</f>
        <v>0</v>
      </c>
      <c r="M49" s="201">
        <f>COUNTIFS(CAMPS18!$AK$2:$AK$166,M$1,CAMPS18!$AQ$2:$AQ$166,$E49)</f>
        <v>1</v>
      </c>
      <c r="N49" s="201">
        <f>COUNTIFS(CAMPS18!$AK$2:$AK$166,N$1,CAMPS18!$AQ$2:$AQ$166,$E49)</f>
        <v>0</v>
      </c>
      <c r="O49" s="201">
        <f>COUNTIFS(CAMPS18!$AK$2:$AK$166,O$1,CAMPS18!$AQ$2:$AQ$166,$E49)</f>
        <v>0</v>
      </c>
      <c r="P49" s="201">
        <f>COUNTIFS(CAMPS18!$AK$2:$AK$166,P$1,CAMPS18!$AQ$2:$AQ$166,$E49)</f>
        <v>0</v>
      </c>
      <c r="Q49" s="201">
        <f>COUNTIFS(CAMPS18!$AK$2:$AK$166,Q$1,CAMPS18!$AQ$2:$AQ$166,$E49)</f>
        <v>0</v>
      </c>
      <c r="R49" s="201">
        <f>COUNTIFS(CAMPS18!$AK$2:$AK$166,R$1,CAMPS18!$AQ$2:$AQ$166,$E49)</f>
        <v>0</v>
      </c>
    </row>
    <row r="50" spans="5:18" x14ac:dyDescent="0.35">
      <c r="E50" s="208">
        <f t="shared" si="1"/>
        <v>49</v>
      </c>
      <c r="F50" s="208">
        <f t="shared" si="0"/>
        <v>2</v>
      </c>
      <c r="G50" s="201">
        <f>COUNTIFS(CAMPS18!$AK$2:$AK$166,G$1,CAMPS18!$AQ$2:$AQ$166,$E50)</f>
        <v>0</v>
      </c>
      <c r="H50" s="201">
        <f>COUNTIFS(CAMPS18!$AK$2:$AK$166,H$1,CAMPS18!$AQ$2:$AQ$166,$E50)</f>
        <v>0</v>
      </c>
      <c r="I50" s="201">
        <f>COUNTIFS(CAMPS18!$AK$2:$AK$166,I$1,CAMPS18!$AQ$2:$AQ$166,$E50)</f>
        <v>0</v>
      </c>
      <c r="J50" s="208">
        <f>COUNTIFS(CAMPS18!$AK$2:$AK$166,J$1,CAMPS18!$AQ$2:$AQ$166,$E50)</f>
        <v>0</v>
      </c>
      <c r="K50" s="201">
        <f>COUNTIFS(CAMPS18!$AK$2:$AK$166,K$1,CAMPS18!$AQ$2:$AQ$166,$E50)</f>
        <v>1</v>
      </c>
      <c r="L50" s="201">
        <f>COUNTIFS(CAMPS18!$AK$2:$AK$166,L$1,CAMPS18!$AQ$2:$AQ$166,$E50)</f>
        <v>0</v>
      </c>
      <c r="M50" s="201">
        <f>COUNTIFS(CAMPS18!$AK$2:$AK$166,M$1,CAMPS18!$AQ$2:$AQ$166,$E50)</f>
        <v>1</v>
      </c>
      <c r="N50" s="201">
        <f>COUNTIFS(CAMPS18!$AK$2:$AK$166,N$1,CAMPS18!$AQ$2:$AQ$166,$E50)</f>
        <v>0</v>
      </c>
      <c r="O50" s="201">
        <f>COUNTIFS(CAMPS18!$AK$2:$AK$166,O$1,CAMPS18!$AQ$2:$AQ$166,$E50)</f>
        <v>0</v>
      </c>
      <c r="P50" s="201">
        <f>COUNTIFS(CAMPS18!$AK$2:$AK$166,P$1,CAMPS18!$AQ$2:$AQ$166,$E50)</f>
        <v>0</v>
      </c>
      <c r="Q50" s="201">
        <f>COUNTIFS(CAMPS18!$AK$2:$AK$166,Q$1,CAMPS18!$AQ$2:$AQ$166,$E50)</f>
        <v>0</v>
      </c>
      <c r="R50" s="201">
        <f>COUNTIFS(CAMPS18!$AK$2:$AK$166,R$1,CAMPS18!$AQ$2:$AQ$166,$E50)</f>
        <v>0</v>
      </c>
    </row>
    <row r="51" spans="5:18" x14ac:dyDescent="0.35">
      <c r="E51" s="208">
        <f t="shared" si="1"/>
        <v>50</v>
      </c>
      <c r="F51" s="208">
        <f t="shared" si="0"/>
        <v>0</v>
      </c>
      <c r="G51" s="201">
        <f>COUNTIFS(CAMPS18!$AK$2:$AK$166,G$1,CAMPS18!$AQ$2:$AQ$166,$E51)</f>
        <v>0</v>
      </c>
      <c r="H51" s="201">
        <f>COUNTIFS(CAMPS18!$AK$2:$AK$166,H$1,CAMPS18!$AQ$2:$AQ$166,$E51)</f>
        <v>0</v>
      </c>
      <c r="I51" s="201">
        <f>COUNTIFS(CAMPS18!$AK$2:$AK$166,I$1,CAMPS18!$AQ$2:$AQ$166,$E51)</f>
        <v>0</v>
      </c>
      <c r="J51" s="208">
        <f>COUNTIFS(CAMPS18!$AK$2:$AK$166,J$1,CAMPS18!$AQ$2:$AQ$166,$E51)</f>
        <v>0</v>
      </c>
      <c r="K51" s="201">
        <f>COUNTIFS(CAMPS18!$AK$2:$AK$166,K$1,CAMPS18!$AQ$2:$AQ$166,$E51)</f>
        <v>0</v>
      </c>
      <c r="L51" s="201">
        <f>COUNTIFS(CAMPS18!$AK$2:$AK$166,L$1,CAMPS18!$AQ$2:$AQ$166,$E51)</f>
        <v>0</v>
      </c>
      <c r="M51" s="201">
        <f>COUNTIFS(CAMPS18!$AK$2:$AK$166,M$1,CAMPS18!$AQ$2:$AQ$166,$E51)</f>
        <v>0</v>
      </c>
      <c r="N51" s="201">
        <f>COUNTIFS(CAMPS18!$AK$2:$AK$166,N$1,CAMPS18!$AQ$2:$AQ$166,$E51)</f>
        <v>0</v>
      </c>
      <c r="O51" s="201">
        <f>COUNTIFS(CAMPS18!$AK$2:$AK$166,O$1,CAMPS18!$AQ$2:$AQ$166,$E51)</f>
        <v>0</v>
      </c>
      <c r="P51" s="201">
        <f>COUNTIFS(CAMPS18!$AK$2:$AK$166,P$1,CAMPS18!$AQ$2:$AQ$166,$E51)</f>
        <v>0</v>
      </c>
      <c r="Q51" s="201">
        <f>COUNTIFS(CAMPS18!$AK$2:$AK$166,Q$1,CAMPS18!$AQ$2:$AQ$166,$E51)</f>
        <v>0</v>
      </c>
      <c r="R51" s="201">
        <f>COUNTIFS(CAMPS18!$AK$2:$AK$166,R$1,CAMPS18!$AQ$2:$AQ$166,$E51)</f>
        <v>0</v>
      </c>
    </row>
    <row r="52" spans="5:18" x14ac:dyDescent="0.35">
      <c r="E52" s="208">
        <f t="shared" si="1"/>
        <v>51</v>
      </c>
      <c r="F52" s="208">
        <f t="shared" si="0"/>
        <v>0</v>
      </c>
      <c r="G52" s="201">
        <f>COUNTIFS(CAMPS18!$AK$2:$AK$166,G$1,CAMPS18!$AQ$2:$AQ$166,$E52)</f>
        <v>0</v>
      </c>
      <c r="H52" s="201">
        <f>COUNTIFS(CAMPS18!$AK$2:$AK$166,H$1,CAMPS18!$AQ$2:$AQ$166,$E52)</f>
        <v>0</v>
      </c>
      <c r="I52" s="201">
        <f>COUNTIFS(CAMPS18!$AK$2:$AK$166,I$1,CAMPS18!$AQ$2:$AQ$166,$E52)</f>
        <v>0</v>
      </c>
      <c r="J52" s="208">
        <f>COUNTIFS(CAMPS18!$AK$2:$AK$166,J$1,CAMPS18!$AQ$2:$AQ$166,$E52)</f>
        <v>0</v>
      </c>
      <c r="K52" s="201">
        <f>COUNTIFS(CAMPS18!$AK$2:$AK$166,K$1,CAMPS18!$AQ$2:$AQ$166,$E52)</f>
        <v>0</v>
      </c>
      <c r="L52" s="201">
        <f>COUNTIFS(CAMPS18!$AK$2:$AK$166,L$1,CAMPS18!$AQ$2:$AQ$166,$E52)</f>
        <v>0</v>
      </c>
      <c r="M52" s="201">
        <f>COUNTIFS(CAMPS18!$AK$2:$AK$166,M$1,CAMPS18!$AQ$2:$AQ$166,$E52)</f>
        <v>0</v>
      </c>
      <c r="N52" s="201">
        <f>COUNTIFS(CAMPS18!$AK$2:$AK$166,N$1,CAMPS18!$AQ$2:$AQ$166,$E52)</f>
        <v>0</v>
      </c>
      <c r="O52" s="201">
        <f>COUNTIFS(CAMPS18!$AK$2:$AK$166,O$1,CAMPS18!$AQ$2:$AQ$166,$E52)</f>
        <v>0</v>
      </c>
      <c r="P52" s="201">
        <f>COUNTIFS(CAMPS18!$AK$2:$AK$166,P$1,CAMPS18!$AQ$2:$AQ$166,$E52)</f>
        <v>0</v>
      </c>
      <c r="Q52" s="201">
        <f>COUNTIFS(CAMPS18!$AK$2:$AK$166,Q$1,CAMPS18!$AQ$2:$AQ$166,$E52)</f>
        <v>0</v>
      </c>
      <c r="R52" s="201">
        <f>COUNTIFS(CAMPS18!$AK$2:$AK$166,R$1,CAMPS18!$AQ$2:$AQ$166,$E52)</f>
        <v>0</v>
      </c>
    </row>
    <row r="53" spans="5:18" x14ac:dyDescent="0.35">
      <c r="E53" s="208">
        <f t="shared" si="1"/>
        <v>52</v>
      </c>
      <c r="F53" s="208">
        <f t="shared" si="0"/>
        <v>1</v>
      </c>
      <c r="G53" s="201">
        <f>COUNTIFS(CAMPS18!$AK$2:$AK$166,G$1,CAMPS18!$AQ$2:$AQ$166,$E53)</f>
        <v>0</v>
      </c>
      <c r="H53" s="201">
        <f>COUNTIFS(CAMPS18!$AK$2:$AK$166,H$1,CAMPS18!$AQ$2:$AQ$166,$E53)</f>
        <v>0</v>
      </c>
      <c r="I53" s="201">
        <f>COUNTIFS(CAMPS18!$AK$2:$AK$166,I$1,CAMPS18!$AQ$2:$AQ$166,$E53)</f>
        <v>0</v>
      </c>
      <c r="J53" s="208">
        <f>COUNTIFS(CAMPS18!$AK$2:$AK$166,J$1,CAMPS18!$AQ$2:$AQ$166,$E53)</f>
        <v>0</v>
      </c>
      <c r="K53" s="201">
        <f>COUNTIFS(CAMPS18!$AK$2:$AK$166,K$1,CAMPS18!$AQ$2:$AQ$166,$E53)</f>
        <v>0</v>
      </c>
      <c r="L53" s="201">
        <f>COUNTIFS(CAMPS18!$AK$2:$AK$166,L$1,CAMPS18!$AQ$2:$AQ$166,$E53)</f>
        <v>0</v>
      </c>
      <c r="M53" s="201">
        <f>COUNTIFS(CAMPS18!$AK$2:$AK$166,M$1,CAMPS18!$AQ$2:$AQ$166,$E53)</f>
        <v>1</v>
      </c>
      <c r="N53" s="201">
        <f>COUNTIFS(CAMPS18!$AK$2:$AK$166,N$1,CAMPS18!$AQ$2:$AQ$166,$E53)</f>
        <v>0</v>
      </c>
      <c r="O53" s="201">
        <f>COUNTIFS(CAMPS18!$AK$2:$AK$166,O$1,CAMPS18!$AQ$2:$AQ$166,$E53)</f>
        <v>0</v>
      </c>
      <c r="P53" s="201">
        <f>COUNTIFS(CAMPS18!$AK$2:$AK$166,P$1,CAMPS18!$AQ$2:$AQ$166,$E53)</f>
        <v>0</v>
      </c>
      <c r="Q53" s="201">
        <f>COUNTIFS(CAMPS18!$AK$2:$AK$166,Q$1,CAMPS18!$AQ$2:$AQ$166,$E53)</f>
        <v>0</v>
      </c>
      <c r="R53" s="201">
        <f>COUNTIFS(CAMPS18!$AK$2:$AK$166,R$1,CAMPS18!$AQ$2:$AQ$166,$E53)</f>
        <v>0</v>
      </c>
    </row>
    <row r="54" spans="5:18" x14ac:dyDescent="0.35">
      <c r="E54" s="208">
        <f t="shared" si="1"/>
        <v>53</v>
      </c>
      <c r="F54" s="208">
        <f t="shared" si="0"/>
        <v>2</v>
      </c>
      <c r="G54" s="201">
        <f>COUNTIFS(CAMPS18!$AK$2:$AK$166,G$1,CAMPS18!$AQ$2:$AQ$166,$E54)</f>
        <v>0</v>
      </c>
      <c r="H54" s="201">
        <f>COUNTIFS(CAMPS18!$AK$2:$AK$166,H$1,CAMPS18!$AQ$2:$AQ$166,$E54)</f>
        <v>0</v>
      </c>
      <c r="I54" s="201">
        <f>COUNTIFS(CAMPS18!$AK$2:$AK$166,I$1,CAMPS18!$AQ$2:$AQ$166,$E54)</f>
        <v>0</v>
      </c>
      <c r="J54" s="208">
        <f>COUNTIFS(CAMPS18!$AK$2:$AK$166,J$1,CAMPS18!$AQ$2:$AQ$166,$E54)</f>
        <v>0</v>
      </c>
      <c r="K54" s="201">
        <f>COUNTIFS(CAMPS18!$AK$2:$AK$166,K$1,CAMPS18!$AQ$2:$AQ$166,$E54)</f>
        <v>0</v>
      </c>
      <c r="L54" s="201">
        <f>COUNTIFS(CAMPS18!$AK$2:$AK$166,L$1,CAMPS18!$AQ$2:$AQ$166,$E54)</f>
        <v>0</v>
      </c>
      <c r="M54" s="201">
        <f>COUNTIFS(CAMPS18!$AK$2:$AK$166,M$1,CAMPS18!$AQ$2:$AQ$166,$E54)</f>
        <v>1</v>
      </c>
      <c r="N54" s="201">
        <f>COUNTIFS(CAMPS18!$AK$2:$AK$166,N$1,CAMPS18!$AQ$2:$AQ$166,$E54)</f>
        <v>1</v>
      </c>
      <c r="O54" s="201">
        <f>COUNTIFS(CAMPS18!$AK$2:$AK$166,O$1,CAMPS18!$AQ$2:$AQ$166,$E54)</f>
        <v>0</v>
      </c>
      <c r="P54" s="201">
        <f>COUNTIFS(CAMPS18!$AK$2:$AK$166,P$1,CAMPS18!$AQ$2:$AQ$166,$E54)</f>
        <v>0</v>
      </c>
      <c r="Q54" s="201">
        <f>COUNTIFS(CAMPS18!$AK$2:$AK$166,Q$1,CAMPS18!$AQ$2:$AQ$166,$E54)</f>
        <v>0</v>
      </c>
      <c r="R54" s="201">
        <f>COUNTIFS(CAMPS18!$AK$2:$AK$166,R$1,CAMPS18!$AQ$2:$AQ$166,$E54)</f>
        <v>0</v>
      </c>
    </row>
    <row r="55" spans="5:18" x14ac:dyDescent="0.35">
      <c r="E55" s="208">
        <f t="shared" si="1"/>
        <v>54</v>
      </c>
      <c r="F55" s="208">
        <f t="shared" si="0"/>
        <v>0</v>
      </c>
      <c r="G55" s="201">
        <f>COUNTIFS(CAMPS18!$AK$2:$AK$166,G$1,CAMPS18!$AQ$2:$AQ$166,$E55)</f>
        <v>0</v>
      </c>
      <c r="H55" s="201">
        <f>COUNTIFS(CAMPS18!$AK$2:$AK$166,H$1,CAMPS18!$AQ$2:$AQ$166,$E55)</f>
        <v>0</v>
      </c>
      <c r="I55" s="201">
        <f>COUNTIFS(CAMPS18!$AK$2:$AK$166,I$1,CAMPS18!$AQ$2:$AQ$166,$E55)</f>
        <v>0</v>
      </c>
      <c r="J55" s="208">
        <f>COUNTIFS(CAMPS18!$AK$2:$AK$166,J$1,CAMPS18!$AQ$2:$AQ$166,$E55)</f>
        <v>0</v>
      </c>
      <c r="K55" s="201">
        <f>COUNTIFS(CAMPS18!$AK$2:$AK$166,K$1,CAMPS18!$AQ$2:$AQ$166,$E55)</f>
        <v>0</v>
      </c>
      <c r="L55" s="201">
        <f>COUNTIFS(CAMPS18!$AK$2:$AK$166,L$1,CAMPS18!$AQ$2:$AQ$166,$E55)</f>
        <v>0</v>
      </c>
      <c r="M55" s="201">
        <f>COUNTIFS(CAMPS18!$AK$2:$AK$166,M$1,CAMPS18!$AQ$2:$AQ$166,$E55)</f>
        <v>0</v>
      </c>
      <c r="N55" s="201">
        <f>COUNTIFS(CAMPS18!$AK$2:$AK$166,N$1,CAMPS18!$AQ$2:$AQ$166,$E55)</f>
        <v>0</v>
      </c>
      <c r="O55" s="201">
        <f>COUNTIFS(CAMPS18!$AK$2:$AK$166,O$1,CAMPS18!$AQ$2:$AQ$166,$E55)</f>
        <v>0</v>
      </c>
      <c r="P55" s="201">
        <f>COUNTIFS(CAMPS18!$AK$2:$AK$166,P$1,CAMPS18!$AQ$2:$AQ$166,$E55)</f>
        <v>0</v>
      </c>
      <c r="Q55" s="201">
        <f>COUNTIFS(CAMPS18!$AK$2:$AK$166,Q$1,CAMPS18!$AQ$2:$AQ$166,$E55)</f>
        <v>0</v>
      </c>
      <c r="R55" s="201">
        <f>COUNTIFS(CAMPS18!$AK$2:$AK$166,R$1,CAMPS18!$AQ$2:$AQ$166,$E55)</f>
        <v>0</v>
      </c>
    </row>
    <row r="56" spans="5:18" x14ac:dyDescent="0.35">
      <c r="E56" s="208">
        <f t="shared" si="1"/>
        <v>55</v>
      </c>
      <c r="F56" s="208">
        <f t="shared" si="0"/>
        <v>0</v>
      </c>
      <c r="G56" s="201">
        <f>COUNTIFS(CAMPS18!$AK$2:$AK$166,G$1,CAMPS18!$AQ$2:$AQ$166,$E56)</f>
        <v>0</v>
      </c>
      <c r="H56" s="201">
        <f>COUNTIFS(CAMPS18!$AK$2:$AK$166,H$1,CAMPS18!$AQ$2:$AQ$166,$E56)</f>
        <v>0</v>
      </c>
      <c r="I56" s="201">
        <f>COUNTIFS(CAMPS18!$AK$2:$AK$166,I$1,CAMPS18!$AQ$2:$AQ$166,$E56)</f>
        <v>0</v>
      </c>
      <c r="J56" s="208">
        <f>COUNTIFS(CAMPS18!$AK$2:$AK$166,J$1,CAMPS18!$AQ$2:$AQ$166,$E56)</f>
        <v>0</v>
      </c>
      <c r="K56" s="201">
        <f>COUNTIFS(CAMPS18!$AK$2:$AK$166,K$1,CAMPS18!$AQ$2:$AQ$166,$E56)</f>
        <v>0</v>
      </c>
      <c r="L56" s="201">
        <f>COUNTIFS(CAMPS18!$AK$2:$AK$166,L$1,CAMPS18!$AQ$2:$AQ$166,$E56)</f>
        <v>0</v>
      </c>
      <c r="M56" s="201">
        <f>COUNTIFS(CAMPS18!$AK$2:$AK$166,M$1,CAMPS18!$AQ$2:$AQ$166,$E56)</f>
        <v>0</v>
      </c>
      <c r="N56" s="201">
        <f>COUNTIFS(CAMPS18!$AK$2:$AK$166,N$1,CAMPS18!$AQ$2:$AQ$166,$E56)</f>
        <v>0</v>
      </c>
      <c r="O56" s="201">
        <f>COUNTIFS(CAMPS18!$AK$2:$AK$166,O$1,CAMPS18!$AQ$2:$AQ$166,$E56)</f>
        <v>0</v>
      </c>
      <c r="P56" s="201">
        <f>COUNTIFS(CAMPS18!$AK$2:$AK$166,P$1,CAMPS18!$AQ$2:$AQ$166,$E56)</f>
        <v>0</v>
      </c>
      <c r="Q56" s="201">
        <f>COUNTIFS(CAMPS18!$AK$2:$AK$166,Q$1,CAMPS18!$AQ$2:$AQ$166,$E56)</f>
        <v>0</v>
      </c>
      <c r="R56" s="201">
        <f>COUNTIFS(CAMPS18!$AK$2:$AK$166,R$1,CAMPS18!$AQ$2:$AQ$166,$E56)</f>
        <v>0</v>
      </c>
    </row>
    <row r="57" spans="5:18" x14ac:dyDescent="0.35">
      <c r="E57" s="208">
        <f t="shared" si="1"/>
        <v>56</v>
      </c>
      <c r="F57" s="208">
        <f t="shared" si="0"/>
        <v>5</v>
      </c>
      <c r="G57" s="201">
        <f>COUNTIFS(CAMPS18!$AK$2:$AK$166,G$1,CAMPS18!$AQ$2:$AQ$166,$E57)</f>
        <v>0</v>
      </c>
      <c r="H57" s="201">
        <f>COUNTIFS(CAMPS18!$AK$2:$AK$166,H$1,CAMPS18!$AQ$2:$AQ$166,$E57)</f>
        <v>0</v>
      </c>
      <c r="I57" s="201">
        <f>COUNTIFS(CAMPS18!$AK$2:$AK$166,I$1,CAMPS18!$AQ$2:$AQ$166,$E57)</f>
        <v>0</v>
      </c>
      <c r="J57" s="208">
        <f>COUNTIFS(CAMPS18!$AK$2:$AK$166,J$1,CAMPS18!$AQ$2:$AQ$166,$E57)</f>
        <v>1</v>
      </c>
      <c r="K57" s="201">
        <f>COUNTIFS(CAMPS18!$AK$2:$AK$166,K$1,CAMPS18!$AQ$2:$AQ$166,$E57)</f>
        <v>0</v>
      </c>
      <c r="L57" s="201">
        <f>COUNTIFS(CAMPS18!$AK$2:$AK$166,L$1,CAMPS18!$AQ$2:$AQ$166,$E57)</f>
        <v>0</v>
      </c>
      <c r="M57" s="201">
        <f>COUNTIFS(CAMPS18!$AK$2:$AK$166,M$1,CAMPS18!$AQ$2:$AQ$166,$E57)</f>
        <v>2</v>
      </c>
      <c r="N57" s="201">
        <f>COUNTIFS(CAMPS18!$AK$2:$AK$166,N$1,CAMPS18!$AQ$2:$AQ$166,$E57)</f>
        <v>0</v>
      </c>
      <c r="O57" s="201">
        <f>COUNTIFS(CAMPS18!$AK$2:$AK$166,O$1,CAMPS18!$AQ$2:$AQ$166,$E57)</f>
        <v>0</v>
      </c>
      <c r="P57" s="201">
        <f>COUNTIFS(CAMPS18!$AK$2:$AK$166,P$1,CAMPS18!$AQ$2:$AQ$166,$E57)</f>
        <v>1</v>
      </c>
      <c r="Q57" s="201">
        <f>COUNTIFS(CAMPS18!$AK$2:$AK$166,Q$1,CAMPS18!$AQ$2:$AQ$166,$E57)</f>
        <v>1</v>
      </c>
      <c r="R57" s="201">
        <f>COUNTIFS(CAMPS18!$AK$2:$AK$166,R$1,CAMPS18!$AQ$2:$AQ$166,$E57)</f>
        <v>0</v>
      </c>
    </row>
    <row r="58" spans="5:18" x14ac:dyDescent="0.35">
      <c r="E58" s="208">
        <f t="shared" si="1"/>
        <v>57</v>
      </c>
      <c r="F58" s="208">
        <f t="shared" si="0"/>
        <v>1</v>
      </c>
      <c r="G58" s="201">
        <f>COUNTIFS(CAMPS18!$AK$2:$AK$166,G$1,CAMPS18!$AQ$2:$AQ$166,$E58)</f>
        <v>0</v>
      </c>
      <c r="H58" s="201">
        <f>COUNTIFS(CAMPS18!$AK$2:$AK$166,H$1,CAMPS18!$AQ$2:$AQ$166,$E58)</f>
        <v>0</v>
      </c>
      <c r="I58" s="201">
        <f>COUNTIFS(CAMPS18!$AK$2:$AK$166,I$1,CAMPS18!$AQ$2:$AQ$166,$E58)</f>
        <v>0</v>
      </c>
      <c r="J58" s="208">
        <f>COUNTIFS(CAMPS18!$AK$2:$AK$166,J$1,CAMPS18!$AQ$2:$AQ$166,$E58)</f>
        <v>0</v>
      </c>
      <c r="K58" s="201">
        <f>COUNTIFS(CAMPS18!$AK$2:$AK$166,K$1,CAMPS18!$AQ$2:$AQ$166,$E58)</f>
        <v>0</v>
      </c>
      <c r="L58" s="201">
        <f>COUNTIFS(CAMPS18!$AK$2:$AK$166,L$1,CAMPS18!$AQ$2:$AQ$166,$E58)</f>
        <v>0</v>
      </c>
      <c r="M58" s="201">
        <f>COUNTIFS(CAMPS18!$AK$2:$AK$166,M$1,CAMPS18!$AQ$2:$AQ$166,$E58)</f>
        <v>1</v>
      </c>
      <c r="N58" s="201">
        <f>COUNTIFS(CAMPS18!$AK$2:$AK$166,N$1,CAMPS18!$AQ$2:$AQ$166,$E58)</f>
        <v>0</v>
      </c>
      <c r="O58" s="201">
        <f>COUNTIFS(CAMPS18!$AK$2:$AK$166,O$1,CAMPS18!$AQ$2:$AQ$166,$E58)</f>
        <v>0</v>
      </c>
      <c r="P58" s="201">
        <f>COUNTIFS(CAMPS18!$AK$2:$AK$166,P$1,CAMPS18!$AQ$2:$AQ$166,$E58)</f>
        <v>0</v>
      </c>
      <c r="Q58" s="201">
        <f>COUNTIFS(CAMPS18!$AK$2:$AK$166,Q$1,CAMPS18!$AQ$2:$AQ$166,$E58)</f>
        <v>0</v>
      </c>
      <c r="R58" s="201">
        <f>COUNTIFS(CAMPS18!$AK$2:$AK$166,R$1,CAMPS18!$AQ$2:$AQ$166,$E58)</f>
        <v>0</v>
      </c>
    </row>
    <row r="59" spans="5:18" x14ac:dyDescent="0.35">
      <c r="E59" s="208">
        <f t="shared" si="1"/>
        <v>58</v>
      </c>
      <c r="F59" s="208">
        <f t="shared" si="0"/>
        <v>1</v>
      </c>
      <c r="G59" s="201">
        <f>COUNTIFS(CAMPS18!$AK$2:$AK$166,G$1,CAMPS18!$AQ$2:$AQ$166,$E59)</f>
        <v>0</v>
      </c>
      <c r="H59" s="201">
        <f>COUNTIFS(CAMPS18!$AK$2:$AK$166,H$1,CAMPS18!$AQ$2:$AQ$166,$E59)</f>
        <v>0</v>
      </c>
      <c r="I59" s="201">
        <f>COUNTIFS(CAMPS18!$AK$2:$AK$166,I$1,CAMPS18!$AQ$2:$AQ$166,$E59)</f>
        <v>0</v>
      </c>
      <c r="J59" s="208">
        <f>COUNTIFS(CAMPS18!$AK$2:$AK$166,J$1,CAMPS18!$AQ$2:$AQ$166,$E59)</f>
        <v>0</v>
      </c>
      <c r="K59" s="201">
        <f>COUNTIFS(CAMPS18!$AK$2:$AK$166,K$1,CAMPS18!$AQ$2:$AQ$166,$E59)</f>
        <v>0</v>
      </c>
      <c r="L59" s="201">
        <f>COUNTIFS(CAMPS18!$AK$2:$AK$166,L$1,CAMPS18!$AQ$2:$AQ$166,$E59)</f>
        <v>0</v>
      </c>
      <c r="M59" s="201">
        <f>COUNTIFS(CAMPS18!$AK$2:$AK$166,M$1,CAMPS18!$AQ$2:$AQ$166,$E59)</f>
        <v>1</v>
      </c>
      <c r="N59" s="201">
        <f>COUNTIFS(CAMPS18!$AK$2:$AK$166,N$1,CAMPS18!$AQ$2:$AQ$166,$E59)</f>
        <v>0</v>
      </c>
      <c r="O59" s="201">
        <f>COUNTIFS(CAMPS18!$AK$2:$AK$166,O$1,CAMPS18!$AQ$2:$AQ$166,$E59)</f>
        <v>0</v>
      </c>
      <c r="P59" s="201">
        <f>COUNTIFS(CAMPS18!$AK$2:$AK$166,P$1,CAMPS18!$AQ$2:$AQ$166,$E59)</f>
        <v>0</v>
      </c>
      <c r="Q59" s="201">
        <f>COUNTIFS(CAMPS18!$AK$2:$AK$166,Q$1,CAMPS18!$AQ$2:$AQ$166,$E59)</f>
        <v>0</v>
      </c>
      <c r="R59" s="201">
        <f>COUNTIFS(CAMPS18!$AK$2:$AK$166,R$1,CAMPS18!$AQ$2:$AQ$166,$E59)</f>
        <v>0</v>
      </c>
    </row>
    <row r="60" spans="5:18" x14ac:dyDescent="0.35">
      <c r="E60" s="208">
        <f t="shared" si="1"/>
        <v>59</v>
      </c>
      <c r="F60" s="208">
        <f t="shared" si="0"/>
        <v>8</v>
      </c>
      <c r="G60" s="201">
        <f>COUNTIFS(CAMPS18!$AK$2:$AK$166,G$1,CAMPS18!$AQ$2:$AQ$166,$E60)</f>
        <v>7</v>
      </c>
      <c r="H60" s="201">
        <f>COUNTIFS(CAMPS18!$AK$2:$AK$166,H$1,CAMPS18!$AQ$2:$AQ$166,$E60)</f>
        <v>0</v>
      </c>
      <c r="I60" s="201">
        <f>COUNTIFS(CAMPS18!$AK$2:$AK$166,I$1,CAMPS18!$AQ$2:$AQ$166,$E60)</f>
        <v>0</v>
      </c>
      <c r="J60" s="208">
        <f>COUNTIFS(CAMPS18!$AK$2:$AK$166,J$1,CAMPS18!$AQ$2:$AQ$166,$E60)</f>
        <v>0</v>
      </c>
      <c r="K60" s="201">
        <f>COUNTIFS(CAMPS18!$AK$2:$AK$166,K$1,CAMPS18!$AQ$2:$AQ$166,$E60)</f>
        <v>0</v>
      </c>
      <c r="L60" s="201">
        <f>COUNTIFS(CAMPS18!$AK$2:$AK$166,L$1,CAMPS18!$AQ$2:$AQ$166,$E60)</f>
        <v>0</v>
      </c>
      <c r="M60" s="201">
        <f>COUNTIFS(CAMPS18!$AK$2:$AK$166,M$1,CAMPS18!$AQ$2:$AQ$166,$E60)</f>
        <v>0</v>
      </c>
      <c r="N60" s="201">
        <f>COUNTIFS(CAMPS18!$AK$2:$AK$166,N$1,CAMPS18!$AQ$2:$AQ$166,$E60)</f>
        <v>1</v>
      </c>
      <c r="O60" s="201">
        <f>COUNTIFS(CAMPS18!$AK$2:$AK$166,O$1,CAMPS18!$AQ$2:$AQ$166,$E60)</f>
        <v>0</v>
      </c>
      <c r="P60" s="201">
        <f>COUNTIFS(CAMPS18!$AK$2:$AK$166,P$1,CAMPS18!$AQ$2:$AQ$166,$E60)</f>
        <v>0</v>
      </c>
      <c r="Q60" s="201">
        <f>COUNTIFS(CAMPS18!$AK$2:$AK$166,Q$1,CAMPS18!$AQ$2:$AQ$166,$E60)</f>
        <v>0</v>
      </c>
      <c r="R60" s="201">
        <f>COUNTIFS(CAMPS18!$AK$2:$AK$166,R$1,CAMPS18!$AQ$2:$AQ$166,$E60)</f>
        <v>0</v>
      </c>
    </row>
    <row r="61" spans="5:18" x14ac:dyDescent="0.35">
      <c r="E61" s="208">
        <f t="shared" si="1"/>
        <v>60</v>
      </c>
      <c r="F61" s="208">
        <f t="shared" si="0"/>
        <v>0</v>
      </c>
      <c r="G61" s="201">
        <f>COUNTIFS(CAMPS18!$AK$2:$AK$166,G$1,CAMPS18!$AQ$2:$AQ$166,$E61)</f>
        <v>0</v>
      </c>
      <c r="H61" s="201">
        <f>COUNTIFS(CAMPS18!$AK$2:$AK$166,H$1,CAMPS18!$AQ$2:$AQ$166,$E61)</f>
        <v>0</v>
      </c>
      <c r="I61" s="201">
        <f>COUNTIFS(CAMPS18!$AK$2:$AK$166,I$1,CAMPS18!$AQ$2:$AQ$166,$E61)</f>
        <v>0</v>
      </c>
      <c r="J61" s="208">
        <f>COUNTIFS(CAMPS18!$AK$2:$AK$166,J$1,CAMPS18!$AQ$2:$AQ$166,$E61)</f>
        <v>0</v>
      </c>
      <c r="K61" s="201">
        <f>COUNTIFS(CAMPS18!$AK$2:$AK$166,K$1,CAMPS18!$AQ$2:$AQ$166,$E61)</f>
        <v>0</v>
      </c>
      <c r="L61" s="201">
        <f>COUNTIFS(CAMPS18!$AK$2:$AK$166,L$1,CAMPS18!$AQ$2:$AQ$166,$E61)</f>
        <v>0</v>
      </c>
      <c r="M61" s="201">
        <f>COUNTIFS(CAMPS18!$AK$2:$AK$166,M$1,CAMPS18!$AQ$2:$AQ$166,$E61)</f>
        <v>0</v>
      </c>
      <c r="N61" s="201">
        <f>COUNTIFS(CAMPS18!$AK$2:$AK$166,N$1,CAMPS18!$AQ$2:$AQ$166,$E61)</f>
        <v>0</v>
      </c>
      <c r="O61" s="201">
        <f>COUNTIFS(CAMPS18!$AK$2:$AK$166,O$1,CAMPS18!$AQ$2:$AQ$166,$E61)</f>
        <v>0</v>
      </c>
      <c r="P61" s="201">
        <f>COUNTIFS(CAMPS18!$AK$2:$AK$166,P$1,CAMPS18!$AQ$2:$AQ$166,$E61)</f>
        <v>0</v>
      </c>
      <c r="Q61" s="201">
        <f>COUNTIFS(CAMPS18!$AK$2:$AK$166,Q$1,CAMPS18!$AQ$2:$AQ$166,$E61)</f>
        <v>0</v>
      </c>
      <c r="R61" s="201">
        <f>COUNTIFS(CAMPS18!$AK$2:$AK$166,R$1,CAMPS18!$AQ$2:$AQ$166,$E61)</f>
        <v>0</v>
      </c>
    </row>
    <row r="62" spans="5:18" x14ac:dyDescent="0.35">
      <c r="E62" s="208">
        <f t="shared" si="1"/>
        <v>61</v>
      </c>
      <c r="F62" s="208">
        <f t="shared" si="0"/>
        <v>1</v>
      </c>
      <c r="G62" s="201">
        <f>COUNTIFS(CAMPS18!$AK$2:$AK$166,G$1,CAMPS18!$AQ$2:$AQ$166,$E62)</f>
        <v>0</v>
      </c>
      <c r="H62" s="201">
        <f>COUNTIFS(CAMPS18!$AK$2:$AK$166,H$1,CAMPS18!$AQ$2:$AQ$166,$E62)</f>
        <v>0</v>
      </c>
      <c r="I62" s="201">
        <f>COUNTIFS(CAMPS18!$AK$2:$AK$166,I$1,CAMPS18!$AQ$2:$AQ$166,$E62)</f>
        <v>0</v>
      </c>
      <c r="J62" s="208">
        <f>COUNTIFS(CAMPS18!$AK$2:$AK$166,J$1,CAMPS18!$AQ$2:$AQ$166,$E62)</f>
        <v>0</v>
      </c>
      <c r="K62" s="201">
        <f>COUNTIFS(CAMPS18!$AK$2:$AK$166,K$1,CAMPS18!$AQ$2:$AQ$166,$E62)</f>
        <v>0</v>
      </c>
      <c r="L62" s="201">
        <f>COUNTIFS(CAMPS18!$AK$2:$AK$166,L$1,CAMPS18!$AQ$2:$AQ$166,$E62)</f>
        <v>0</v>
      </c>
      <c r="M62" s="201">
        <f>COUNTIFS(CAMPS18!$AK$2:$AK$166,M$1,CAMPS18!$AQ$2:$AQ$166,$E62)</f>
        <v>0</v>
      </c>
      <c r="N62" s="201">
        <f>COUNTIFS(CAMPS18!$AK$2:$AK$166,N$1,CAMPS18!$AQ$2:$AQ$166,$E62)</f>
        <v>1</v>
      </c>
      <c r="O62" s="201">
        <f>COUNTIFS(CAMPS18!$AK$2:$AK$166,O$1,CAMPS18!$AQ$2:$AQ$166,$E62)</f>
        <v>0</v>
      </c>
      <c r="P62" s="201">
        <f>COUNTIFS(CAMPS18!$AK$2:$AK$166,P$1,CAMPS18!$AQ$2:$AQ$166,$E62)</f>
        <v>0</v>
      </c>
      <c r="Q62" s="201">
        <f>COUNTIFS(CAMPS18!$AK$2:$AK$166,Q$1,CAMPS18!$AQ$2:$AQ$166,$E62)</f>
        <v>0</v>
      </c>
      <c r="R62" s="201">
        <f>COUNTIFS(CAMPS18!$AK$2:$AK$166,R$1,CAMPS18!$AQ$2:$AQ$166,$E62)</f>
        <v>0</v>
      </c>
    </row>
    <row r="63" spans="5:18" x14ac:dyDescent="0.35">
      <c r="E63" s="208">
        <f t="shared" si="1"/>
        <v>62</v>
      </c>
      <c r="F63" s="208">
        <f t="shared" si="0"/>
        <v>0</v>
      </c>
      <c r="G63" s="201">
        <f>COUNTIFS(CAMPS18!$AK$2:$AK$166,G$1,CAMPS18!$AQ$2:$AQ$166,$E63)</f>
        <v>0</v>
      </c>
      <c r="H63" s="201">
        <f>COUNTIFS(CAMPS18!$AK$2:$AK$166,H$1,CAMPS18!$AQ$2:$AQ$166,$E63)</f>
        <v>0</v>
      </c>
      <c r="I63" s="201">
        <f>COUNTIFS(CAMPS18!$AK$2:$AK$166,I$1,CAMPS18!$AQ$2:$AQ$166,$E63)</f>
        <v>0</v>
      </c>
      <c r="J63" s="208">
        <f>COUNTIFS(CAMPS18!$AK$2:$AK$166,J$1,CAMPS18!$AQ$2:$AQ$166,$E63)</f>
        <v>0</v>
      </c>
      <c r="K63" s="201">
        <f>COUNTIFS(CAMPS18!$AK$2:$AK$166,K$1,CAMPS18!$AQ$2:$AQ$166,$E63)</f>
        <v>0</v>
      </c>
      <c r="L63" s="201">
        <f>COUNTIFS(CAMPS18!$AK$2:$AK$166,L$1,CAMPS18!$AQ$2:$AQ$166,$E63)</f>
        <v>0</v>
      </c>
      <c r="M63" s="201">
        <f>COUNTIFS(CAMPS18!$AK$2:$AK$166,M$1,CAMPS18!$AQ$2:$AQ$166,$E63)</f>
        <v>0</v>
      </c>
      <c r="N63" s="201">
        <f>COUNTIFS(CAMPS18!$AK$2:$AK$166,N$1,CAMPS18!$AQ$2:$AQ$166,$E63)</f>
        <v>0</v>
      </c>
      <c r="O63" s="201">
        <f>COUNTIFS(CAMPS18!$AK$2:$AK$166,O$1,CAMPS18!$AQ$2:$AQ$166,$E63)</f>
        <v>0</v>
      </c>
      <c r="P63" s="201">
        <f>COUNTIFS(CAMPS18!$AK$2:$AK$166,P$1,CAMPS18!$AQ$2:$AQ$166,$E63)</f>
        <v>0</v>
      </c>
      <c r="Q63" s="201">
        <f>COUNTIFS(CAMPS18!$AK$2:$AK$166,Q$1,CAMPS18!$AQ$2:$AQ$166,$E63)</f>
        <v>0</v>
      </c>
      <c r="R63" s="201">
        <f>COUNTIFS(CAMPS18!$AK$2:$AK$166,R$1,CAMPS18!$AQ$2:$AQ$166,$E63)</f>
        <v>0</v>
      </c>
    </row>
    <row r="64" spans="5:18" x14ac:dyDescent="0.35">
      <c r="E64" s="208">
        <f t="shared" si="1"/>
        <v>63</v>
      </c>
      <c r="F64" s="208">
        <f t="shared" si="0"/>
        <v>6</v>
      </c>
      <c r="G64" s="201">
        <f>COUNTIFS(CAMPS18!$AK$2:$AK$166,G$1,CAMPS18!$AQ$2:$AQ$166,$E64)</f>
        <v>5</v>
      </c>
      <c r="H64" s="201">
        <f>COUNTIFS(CAMPS18!$AK$2:$AK$166,H$1,CAMPS18!$AQ$2:$AQ$166,$E64)</f>
        <v>0</v>
      </c>
      <c r="I64" s="201">
        <f>COUNTIFS(CAMPS18!$AK$2:$AK$166,I$1,CAMPS18!$AQ$2:$AQ$166,$E64)</f>
        <v>0</v>
      </c>
      <c r="J64" s="208">
        <f>COUNTIFS(CAMPS18!$AK$2:$AK$166,J$1,CAMPS18!$AQ$2:$AQ$166,$E64)</f>
        <v>0</v>
      </c>
      <c r="K64" s="201">
        <f>COUNTIFS(CAMPS18!$AK$2:$AK$166,K$1,CAMPS18!$AQ$2:$AQ$166,$E64)</f>
        <v>0</v>
      </c>
      <c r="L64" s="201">
        <f>COUNTIFS(CAMPS18!$AK$2:$AK$166,L$1,CAMPS18!$AQ$2:$AQ$166,$E64)</f>
        <v>0</v>
      </c>
      <c r="M64" s="201">
        <f>COUNTIFS(CAMPS18!$AK$2:$AK$166,M$1,CAMPS18!$AQ$2:$AQ$166,$E64)</f>
        <v>0</v>
      </c>
      <c r="N64" s="201">
        <f>COUNTIFS(CAMPS18!$AK$2:$AK$166,N$1,CAMPS18!$AQ$2:$AQ$166,$E64)</f>
        <v>0</v>
      </c>
      <c r="O64" s="201">
        <f>COUNTIFS(CAMPS18!$AK$2:$AK$166,O$1,CAMPS18!$AQ$2:$AQ$166,$E64)</f>
        <v>0</v>
      </c>
      <c r="P64" s="201">
        <f>COUNTIFS(CAMPS18!$AK$2:$AK$166,P$1,CAMPS18!$AQ$2:$AQ$166,$E64)</f>
        <v>1</v>
      </c>
      <c r="Q64" s="201">
        <f>COUNTIFS(CAMPS18!$AK$2:$AK$166,Q$1,CAMPS18!$AQ$2:$AQ$166,$E64)</f>
        <v>0</v>
      </c>
      <c r="R64" s="201">
        <f>COUNTIFS(CAMPS18!$AK$2:$AK$166,R$1,CAMPS18!$AQ$2:$AQ$166,$E64)</f>
        <v>0</v>
      </c>
    </row>
    <row r="65" spans="5:18" x14ac:dyDescent="0.35">
      <c r="E65" s="208">
        <f t="shared" si="1"/>
        <v>64</v>
      </c>
      <c r="F65" s="208">
        <f t="shared" si="0"/>
        <v>2</v>
      </c>
      <c r="G65" s="201">
        <f>COUNTIFS(CAMPS18!$AK$2:$AK$166,G$1,CAMPS18!$AQ$2:$AQ$166,$E65)</f>
        <v>0</v>
      </c>
      <c r="H65" s="201">
        <f>COUNTIFS(CAMPS18!$AK$2:$AK$166,H$1,CAMPS18!$AQ$2:$AQ$166,$E65)</f>
        <v>0</v>
      </c>
      <c r="I65" s="201">
        <f>COUNTIFS(CAMPS18!$AK$2:$AK$166,I$1,CAMPS18!$AQ$2:$AQ$166,$E65)</f>
        <v>0</v>
      </c>
      <c r="J65" s="208">
        <f>COUNTIFS(CAMPS18!$AK$2:$AK$166,J$1,CAMPS18!$AQ$2:$AQ$166,$E65)</f>
        <v>0</v>
      </c>
      <c r="K65" s="201">
        <f>COUNTIFS(CAMPS18!$AK$2:$AK$166,K$1,CAMPS18!$AQ$2:$AQ$166,$E65)</f>
        <v>0</v>
      </c>
      <c r="L65" s="201">
        <f>COUNTIFS(CAMPS18!$AK$2:$AK$166,L$1,CAMPS18!$AQ$2:$AQ$166,$E65)</f>
        <v>0</v>
      </c>
      <c r="M65" s="201">
        <f>COUNTIFS(CAMPS18!$AK$2:$AK$166,M$1,CAMPS18!$AQ$2:$AQ$166,$E65)</f>
        <v>0</v>
      </c>
      <c r="N65" s="201">
        <f>COUNTIFS(CAMPS18!$AK$2:$AK$166,N$1,CAMPS18!$AQ$2:$AQ$166,$E65)</f>
        <v>0</v>
      </c>
      <c r="O65" s="201">
        <f>COUNTIFS(CAMPS18!$AK$2:$AK$166,O$1,CAMPS18!$AQ$2:$AQ$166,$E65)</f>
        <v>2</v>
      </c>
      <c r="P65" s="201">
        <f>COUNTIFS(CAMPS18!$AK$2:$AK$166,P$1,CAMPS18!$AQ$2:$AQ$166,$E65)</f>
        <v>0</v>
      </c>
      <c r="Q65" s="201">
        <f>COUNTIFS(CAMPS18!$AK$2:$AK$166,Q$1,CAMPS18!$AQ$2:$AQ$166,$E65)</f>
        <v>0</v>
      </c>
      <c r="R65" s="201">
        <f>COUNTIFS(CAMPS18!$AK$2:$AK$166,R$1,CAMPS18!$AQ$2:$AQ$166,$E65)</f>
        <v>0</v>
      </c>
    </row>
    <row r="66" spans="5:18" x14ac:dyDescent="0.35">
      <c r="E66" s="208">
        <f t="shared" si="1"/>
        <v>65</v>
      </c>
      <c r="F66" s="208">
        <f t="shared" si="0"/>
        <v>2</v>
      </c>
      <c r="G66" s="201">
        <f>COUNTIFS(CAMPS18!$AK$2:$AK$166,G$1,CAMPS18!$AQ$2:$AQ$166,$E66)</f>
        <v>0</v>
      </c>
      <c r="H66" s="201">
        <f>COUNTIFS(CAMPS18!$AK$2:$AK$166,H$1,CAMPS18!$AQ$2:$AQ$166,$E66)</f>
        <v>1</v>
      </c>
      <c r="I66" s="201">
        <f>COUNTIFS(CAMPS18!$AK$2:$AK$166,I$1,CAMPS18!$AQ$2:$AQ$166,$E66)</f>
        <v>0</v>
      </c>
      <c r="J66" s="208">
        <f>COUNTIFS(CAMPS18!$AK$2:$AK$166,J$1,CAMPS18!$AQ$2:$AQ$166,$E66)</f>
        <v>1</v>
      </c>
      <c r="K66" s="201">
        <f>COUNTIFS(CAMPS18!$AK$2:$AK$166,K$1,CAMPS18!$AQ$2:$AQ$166,$E66)</f>
        <v>0</v>
      </c>
      <c r="L66" s="201">
        <f>COUNTIFS(CAMPS18!$AK$2:$AK$166,L$1,CAMPS18!$AQ$2:$AQ$166,$E66)</f>
        <v>0</v>
      </c>
      <c r="M66" s="201">
        <f>COUNTIFS(CAMPS18!$AK$2:$AK$166,M$1,CAMPS18!$AQ$2:$AQ$166,$E66)</f>
        <v>0</v>
      </c>
      <c r="N66" s="201">
        <f>COUNTIFS(CAMPS18!$AK$2:$AK$166,N$1,CAMPS18!$AQ$2:$AQ$166,$E66)</f>
        <v>0</v>
      </c>
      <c r="O66" s="201">
        <f>COUNTIFS(CAMPS18!$AK$2:$AK$166,O$1,CAMPS18!$AQ$2:$AQ$166,$E66)</f>
        <v>0</v>
      </c>
      <c r="P66" s="201">
        <f>COUNTIFS(CAMPS18!$AK$2:$AK$166,P$1,CAMPS18!$AQ$2:$AQ$166,$E66)</f>
        <v>0</v>
      </c>
      <c r="Q66" s="201">
        <f>COUNTIFS(CAMPS18!$AK$2:$AK$166,Q$1,CAMPS18!$AQ$2:$AQ$166,$E66)</f>
        <v>0</v>
      </c>
      <c r="R66" s="201">
        <f>COUNTIFS(CAMPS18!$AK$2:$AK$166,R$1,CAMPS18!$AQ$2:$AQ$166,$E66)</f>
        <v>0</v>
      </c>
    </row>
    <row r="67" spans="5:18" x14ac:dyDescent="0.35">
      <c r="E67" s="208">
        <f t="shared" si="1"/>
        <v>66</v>
      </c>
      <c r="F67" s="208">
        <f t="shared" ref="F67:F100" si="2">SUM(G67:R67)</f>
        <v>3</v>
      </c>
      <c r="G67" s="201">
        <f>COUNTIFS(CAMPS18!$AK$2:$AK$166,G$1,CAMPS18!$AQ$2:$AQ$166,$E67)</f>
        <v>0</v>
      </c>
      <c r="H67" s="201">
        <f>COUNTIFS(CAMPS18!$AK$2:$AK$166,H$1,CAMPS18!$AQ$2:$AQ$166,$E67)</f>
        <v>0</v>
      </c>
      <c r="I67" s="201">
        <f>COUNTIFS(CAMPS18!$AK$2:$AK$166,I$1,CAMPS18!$AQ$2:$AQ$166,$E67)</f>
        <v>2</v>
      </c>
      <c r="J67" s="208">
        <f>COUNTIFS(CAMPS18!$AK$2:$AK$166,J$1,CAMPS18!$AQ$2:$AQ$166,$E67)</f>
        <v>0</v>
      </c>
      <c r="K67" s="201">
        <f>COUNTIFS(CAMPS18!$AK$2:$AK$166,K$1,CAMPS18!$AQ$2:$AQ$166,$E67)</f>
        <v>0</v>
      </c>
      <c r="L67" s="201">
        <f>COUNTIFS(CAMPS18!$AK$2:$AK$166,L$1,CAMPS18!$AQ$2:$AQ$166,$E67)</f>
        <v>0</v>
      </c>
      <c r="M67" s="201">
        <f>COUNTIFS(CAMPS18!$AK$2:$AK$166,M$1,CAMPS18!$AQ$2:$AQ$166,$E67)</f>
        <v>0</v>
      </c>
      <c r="N67" s="201">
        <f>COUNTIFS(CAMPS18!$AK$2:$AK$166,N$1,CAMPS18!$AQ$2:$AQ$166,$E67)</f>
        <v>0</v>
      </c>
      <c r="O67" s="201">
        <f>COUNTIFS(CAMPS18!$AK$2:$AK$166,O$1,CAMPS18!$AQ$2:$AQ$166,$E67)</f>
        <v>0</v>
      </c>
      <c r="P67" s="201">
        <f>COUNTIFS(CAMPS18!$AK$2:$AK$166,P$1,CAMPS18!$AQ$2:$AQ$166,$E67)</f>
        <v>0</v>
      </c>
      <c r="Q67" s="201">
        <f>COUNTIFS(CAMPS18!$AK$2:$AK$166,Q$1,CAMPS18!$AQ$2:$AQ$166,$E67)</f>
        <v>1</v>
      </c>
      <c r="R67" s="201">
        <f>COUNTIFS(CAMPS18!$AK$2:$AK$166,R$1,CAMPS18!$AQ$2:$AQ$166,$E67)</f>
        <v>0</v>
      </c>
    </row>
    <row r="68" spans="5:18" x14ac:dyDescent="0.35">
      <c r="E68" s="208">
        <f t="shared" ref="E68:E100" si="3">E67+1</f>
        <v>67</v>
      </c>
      <c r="F68" s="208">
        <f t="shared" si="2"/>
        <v>2</v>
      </c>
      <c r="G68" s="201">
        <f>COUNTIFS(CAMPS18!$AK$2:$AK$166,G$1,CAMPS18!$AQ$2:$AQ$166,$E68)</f>
        <v>0</v>
      </c>
      <c r="H68" s="201">
        <f>COUNTIFS(CAMPS18!$AK$2:$AK$166,H$1,CAMPS18!$AQ$2:$AQ$166,$E68)</f>
        <v>0</v>
      </c>
      <c r="I68" s="201">
        <f>COUNTIFS(CAMPS18!$AK$2:$AK$166,I$1,CAMPS18!$AQ$2:$AQ$166,$E68)</f>
        <v>0</v>
      </c>
      <c r="J68" s="208">
        <f>COUNTIFS(CAMPS18!$AK$2:$AK$166,J$1,CAMPS18!$AQ$2:$AQ$166,$E68)</f>
        <v>0</v>
      </c>
      <c r="K68" s="201">
        <f>COUNTIFS(CAMPS18!$AK$2:$AK$166,K$1,CAMPS18!$AQ$2:$AQ$166,$E68)</f>
        <v>0</v>
      </c>
      <c r="L68" s="201">
        <f>COUNTIFS(CAMPS18!$AK$2:$AK$166,L$1,CAMPS18!$AQ$2:$AQ$166,$E68)</f>
        <v>0</v>
      </c>
      <c r="M68" s="201">
        <f>COUNTIFS(CAMPS18!$AK$2:$AK$166,M$1,CAMPS18!$AQ$2:$AQ$166,$E68)</f>
        <v>2</v>
      </c>
      <c r="N68" s="201">
        <f>COUNTIFS(CAMPS18!$AK$2:$AK$166,N$1,CAMPS18!$AQ$2:$AQ$166,$E68)</f>
        <v>0</v>
      </c>
      <c r="O68" s="201">
        <f>COUNTIFS(CAMPS18!$AK$2:$AK$166,O$1,CAMPS18!$AQ$2:$AQ$166,$E68)</f>
        <v>0</v>
      </c>
      <c r="P68" s="201">
        <f>COUNTIFS(CAMPS18!$AK$2:$AK$166,P$1,CAMPS18!$AQ$2:$AQ$166,$E68)</f>
        <v>0</v>
      </c>
      <c r="Q68" s="201">
        <f>COUNTIFS(CAMPS18!$AK$2:$AK$166,Q$1,CAMPS18!$AQ$2:$AQ$166,$E68)</f>
        <v>0</v>
      </c>
      <c r="R68" s="201">
        <f>COUNTIFS(CAMPS18!$AK$2:$AK$166,R$1,CAMPS18!$AQ$2:$AQ$166,$E68)</f>
        <v>0</v>
      </c>
    </row>
    <row r="69" spans="5:18" x14ac:dyDescent="0.35">
      <c r="E69" s="208">
        <f t="shared" si="3"/>
        <v>68</v>
      </c>
      <c r="F69" s="208">
        <f t="shared" si="2"/>
        <v>1</v>
      </c>
      <c r="G69" s="201">
        <f>COUNTIFS(CAMPS18!$AK$2:$AK$166,G$1,CAMPS18!$AQ$2:$AQ$166,$E69)</f>
        <v>0</v>
      </c>
      <c r="H69" s="201">
        <f>COUNTIFS(CAMPS18!$AK$2:$AK$166,H$1,CAMPS18!$AQ$2:$AQ$166,$E69)</f>
        <v>0</v>
      </c>
      <c r="I69" s="201">
        <f>COUNTIFS(CAMPS18!$AK$2:$AK$166,I$1,CAMPS18!$AQ$2:$AQ$166,$E69)</f>
        <v>0</v>
      </c>
      <c r="J69" s="208">
        <f>COUNTIFS(CAMPS18!$AK$2:$AK$166,J$1,CAMPS18!$AQ$2:$AQ$166,$E69)</f>
        <v>0</v>
      </c>
      <c r="K69" s="201">
        <f>COUNTIFS(CAMPS18!$AK$2:$AK$166,K$1,CAMPS18!$AQ$2:$AQ$166,$E69)</f>
        <v>0</v>
      </c>
      <c r="L69" s="201">
        <f>COUNTIFS(CAMPS18!$AK$2:$AK$166,L$1,CAMPS18!$AQ$2:$AQ$166,$E69)</f>
        <v>0</v>
      </c>
      <c r="M69" s="201">
        <f>COUNTIFS(CAMPS18!$AK$2:$AK$166,M$1,CAMPS18!$AQ$2:$AQ$166,$E69)</f>
        <v>0</v>
      </c>
      <c r="N69" s="201">
        <f>COUNTIFS(CAMPS18!$AK$2:$AK$166,N$1,CAMPS18!$AQ$2:$AQ$166,$E69)</f>
        <v>0</v>
      </c>
      <c r="O69" s="201">
        <f>COUNTIFS(CAMPS18!$AK$2:$AK$166,O$1,CAMPS18!$AQ$2:$AQ$166,$E69)</f>
        <v>0</v>
      </c>
      <c r="P69" s="201">
        <f>COUNTIFS(CAMPS18!$AK$2:$AK$166,P$1,CAMPS18!$AQ$2:$AQ$166,$E69)</f>
        <v>0</v>
      </c>
      <c r="Q69" s="201">
        <f>COUNTIFS(CAMPS18!$AK$2:$AK$166,Q$1,CAMPS18!$AQ$2:$AQ$166,$E69)</f>
        <v>1</v>
      </c>
      <c r="R69" s="201">
        <f>COUNTIFS(CAMPS18!$AK$2:$AK$166,R$1,CAMPS18!$AQ$2:$AQ$166,$E69)</f>
        <v>0</v>
      </c>
    </row>
    <row r="70" spans="5:18" x14ac:dyDescent="0.35">
      <c r="E70" s="208">
        <f t="shared" si="3"/>
        <v>69</v>
      </c>
      <c r="F70" s="208">
        <f t="shared" si="2"/>
        <v>2</v>
      </c>
      <c r="G70" s="201">
        <f>COUNTIFS(CAMPS18!$AK$2:$AK$166,G$1,CAMPS18!$AQ$2:$AQ$166,$E70)</f>
        <v>0</v>
      </c>
      <c r="H70" s="201">
        <f>COUNTIFS(CAMPS18!$AK$2:$AK$166,H$1,CAMPS18!$AQ$2:$AQ$166,$E70)</f>
        <v>0</v>
      </c>
      <c r="I70" s="201">
        <f>COUNTIFS(CAMPS18!$AK$2:$AK$166,I$1,CAMPS18!$AQ$2:$AQ$166,$E70)</f>
        <v>0</v>
      </c>
      <c r="J70" s="208">
        <f>COUNTIFS(CAMPS18!$AK$2:$AK$166,J$1,CAMPS18!$AQ$2:$AQ$166,$E70)</f>
        <v>2</v>
      </c>
      <c r="K70" s="201">
        <f>COUNTIFS(CAMPS18!$AK$2:$AK$166,K$1,CAMPS18!$AQ$2:$AQ$166,$E70)</f>
        <v>0</v>
      </c>
      <c r="L70" s="201">
        <f>COUNTIFS(CAMPS18!$AK$2:$AK$166,L$1,CAMPS18!$AQ$2:$AQ$166,$E70)</f>
        <v>0</v>
      </c>
      <c r="M70" s="201">
        <f>COUNTIFS(CAMPS18!$AK$2:$AK$166,M$1,CAMPS18!$AQ$2:$AQ$166,$E70)</f>
        <v>0</v>
      </c>
      <c r="N70" s="201">
        <f>COUNTIFS(CAMPS18!$AK$2:$AK$166,N$1,CAMPS18!$AQ$2:$AQ$166,$E70)</f>
        <v>0</v>
      </c>
      <c r="O70" s="201">
        <f>COUNTIFS(CAMPS18!$AK$2:$AK$166,O$1,CAMPS18!$AQ$2:$AQ$166,$E70)</f>
        <v>0</v>
      </c>
      <c r="P70" s="201">
        <f>COUNTIFS(CAMPS18!$AK$2:$AK$166,P$1,CAMPS18!$AQ$2:$AQ$166,$E70)</f>
        <v>0</v>
      </c>
      <c r="Q70" s="201">
        <f>COUNTIFS(CAMPS18!$AK$2:$AK$166,Q$1,CAMPS18!$AQ$2:$AQ$166,$E70)</f>
        <v>0</v>
      </c>
      <c r="R70" s="201">
        <f>COUNTIFS(CAMPS18!$AK$2:$AK$166,R$1,CAMPS18!$AQ$2:$AQ$166,$E70)</f>
        <v>0</v>
      </c>
    </row>
    <row r="71" spans="5:18" x14ac:dyDescent="0.35">
      <c r="E71" s="208">
        <f t="shared" si="3"/>
        <v>70</v>
      </c>
      <c r="F71" s="208">
        <f t="shared" si="2"/>
        <v>0</v>
      </c>
      <c r="G71" s="201">
        <f>COUNTIFS(CAMPS18!$AK$2:$AK$166,G$1,CAMPS18!$AQ$2:$AQ$166,$E71)</f>
        <v>0</v>
      </c>
      <c r="H71" s="201">
        <f>COUNTIFS(CAMPS18!$AK$2:$AK$166,H$1,CAMPS18!$AQ$2:$AQ$166,$E71)</f>
        <v>0</v>
      </c>
      <c r="I71" s="201">
        <f>COUNTIFS(CAMPS18!$AK$2:$AK$166,I$1,CAMPS18!$AQ$2:$AQ$166,$E71)</f>
        <v>0</v>
      </c>
      <c r="J71" s="208">
        <f>COUNTIFS(CAMPS18!$AK$2:$AK$166,J$1,CAMPS18!$AQ$2:$AQ$166,$E71)</f>
        <v>0</v>
      </c>
      <c r="K71" s="201">
        <f>COUNTIFS(CAMPS18!$AK$2:$AK$166,K$1,CAMPS18!$AQ$2:$AQ$166,$E71)</f>
        <v>0</v>
      </c>
      <c r="L71" s="201">
        <f>COUNTIFS(CAMPS18!$AK$2:$AK$166,L$1,CAMPS18!$AQ$2:$AQ$166,$E71)</f>
        <v>0</v>
      </c>
      <c r="M71" s="201">
        <f>COUNTIFS(CAMPS18!$AK$2:$AK$166,M$1,CAMPS18!$AQ$2:$AQ$166,$E71)</f>
        <v>0</v>
      </c>
      <c r="N71" s="201">
        <f>COUNTIFS(CAMPS18!$AK$2:$AK$166,N$1,CAMPS18!$AQ$2:$AQ$166,$E71)</f>
        <v>0</v>
      </c>
      <c r="O71" s="201">
        <f>COUNTIFS(CAMPS18!$AK$2:$AK$166,O$1,CAMPS18!$AQ$2:$AQ$166,$E71)</f>
        <v>0</v>
      </c>
      <c r="P71" s="201">
        <f>COUNTIFS(CAMPS18!$AK$2:$AK$166,P$1,CAMPS18!$AQ$2:$AQ$166,$E71)</f>
        <v>0</v>
      </c>
      <c r="Q71" s="201">
        <f>COUNTIFS(CAMPS18!$AK$2:$AK$166,Q$1,CAMPS18!$AQ$2:$AQ$166,$E71)</f>
        <v>0</v>
      </c>
      <c r="R71" s="201">
        <f>COUNTIFS(CAMPS18!$AK$2:$AK$166,R$1,CAMPS18!$AQ$2:$AQ$166,$E71)</f>
        <v>0</v>
      </c>
    </row>
    <row r="72" spans="5:18" x14ac:dyDescent="0.35">
      <c r="E72" s="208">
        <f t="shared" si="3"/>
        <v>71</v>
      </c>
      <c r="F72" s="208">
        <f t="shared" si="2"/>
        <v>3</v>
      </c>
      <c r="G72" s="201">
        <f>COUNTIFS(CAMPS18!$AK$2:$AK$166,G$1,CAMPS18!$AQ$2:$AQ$166,$E72)</f>
        <v>0</v>
      </c>
      <c r="H72" s="201">
        <f>COUNTIFS(CAMPS18!$AK$2:$AK$166,H$1,CAMPS18!$AQ$2:$AQ$166,$E72)</f>
        <v>0</v>
      </c>
      <c r="I72" s="201">
        <f>COUNTIFS(CAMPS18!$AK$2:$AK$166,I$1,CAMPS18!$AQ$2:$AQ$166,$E72)</f>
        <v>0</v>
      </c>
      <c r="J72" s="208">
        <f>COUNTIFS(CAMPS18!$AK$2:$AK$166,J$1,CAMPS18!$AQ$2:$AQ$166,$E72)</f>
        <v>0</v>
      </c>
      <c r="K72" s="201">
        <f>COUNTIFS(CAMPS18!$AK$2:$AK$166,K$1,CAMPS18!$AQ$2:$AQ$166,$E72)</f>
        <v>0</v>
      </c>
      <c r="L72" s="201">
        <f>COUNTIFS(CAMPS18!$AK$2:$AK$166,L$1,CAMPS18!$AQ$2:$AQ$166,$E72)</f>
        <v>0</v>
      </c>
      <c r="M72" s="201">
        <f>COUNTIFS(CAMPS18!$AK$2:$AK$166,M$1,CAMPS18!$AQ$2:$AQ$166,$E72)</f>
        <v>3</v>
      </c>
      <c r="N72" s="201">
        <f>COUNTIFS(CAMPS18!$AK$2:$AK$166,N$1,CAMPS18!$AQ$2:$AQ$166,$E72)</f>
        <v>0</v>
      </c>
      <c r="O72" s="201">
        <f>COUNTIFS(CAMPS18!$AK$2:$AK$166,O$1,CAMPS18!$AQ$2:$AQ$166,$E72)</f>
        <v>0</v>
      </c>
      <c r="P72" s="201">
        <f>COUNTIFS(CAMPS18!$AK$2:$AK$166,P$1,CAMPS18!$AQ$2:$AQ$166,$E72)</f>
        <v>0</v>
      </c>
      <c r="Q72" s="201">
        <f>COUNTIFS(CAMPS18!$AK$2:$AK$166,Q$1,CAMPS18!$AQ$2:$AQ$166,$E72)</f>
        <v>0</v>
      </c>
      <c r="R72" s="201">
        <f>COUNTIFS(CAMPS18!$AK$2:$AK$166,R$1,CAMPS18!$AQ$2:$AQ$166,$E72)</f>
        <v>0</v>
      </c>
    </row>
    <row r="73" spans="5:18" x14ac:dyDescent="0.35">
      <c r="E73" s="208">
        <f t="shared" si="3"/>
        <v>72</v>
      </c>
      <c r="F73" s="208">
        <f t="shared" si="2"/>
        <v>0</v>
      </c>
      <c r="G73" s="201">
        <f>COUNTIFS(CAMPS18!$AK$2:$AK$166,G$1,CAMPS18!$AQ$2:$AQ$166,$E73)</f>
        <v>0</v>
      </c>
      <c r="H73" s="201">
        <f>COUNTIFS(CAMPS18!$AK$2:$AK$166,H$1,CAMPS18!$AQ$2:$AQ$166,$E73)</f>
        <v>0</v>
      </c>
      <c r="I73" s="201">
        <f>COUNTIFS(CAMPS18!$AK$2:$AK$166,I$1,CAMPS18!$AQ$2:$AQ$166,$E73)</f>
        <v>0</v>
      </c>
      <c r="J73" s="208">
        <f>COUNTIFS(CAMPS18!$AK$2:$AK$166,J$1,CAMPS18!$AQ$2:$AQ$166,$E73)</f>
        <v>0</v>
      </c>
      <c r="K73" s="201">
        <f>COUNTIFS(CAMPS18!$AK$2:$AK$166,K$1,CAMPS18!$AQ$2:$AQ$166,$E73)</f>
        <v>0</v>
      </c>
      <c r="L73" s="201">
        <f>COUNTIFS(CAMPS18!$AK$2:$AK$166,L$1,CAMPS18!$AQ$2:$AQ$166,$E73)</f>
        <v>0</v>
      </c>
      <c r="M73" s="201">
        <f>COUNTIFS(CAMPS18!$AK$2:$AK$166,M$1,CAMPS18!$AQ$2:$AQ$166,$E73)</f>
        <v>0</v>
      </c>
      <c r="N73" s="201">
        <f>COUNTIFS(CAMPS18!$AK$2:$AK$166,N$1,CAMPS18!$AQ$2:$AQ$166,$E73)</f>
        <v>0</v>
      </c>
      <c r="O73" s="201">
        <f>COUNTIFS(CAMPS18!$AK$2:$AK$166,O$1,CAMPS18!$AQ$2:$AQ$166,$E73)</f>
        <v>0</v>
      </c>
      <c r="P73" s="201">
        <f>COUNTIFS(CAMPS18!$AK$2:$AK$166,P$1,CAMPS18!$AQ$2:$AQ$166,$E73)</f>
        <v>0</v>
      </c>
      <c r="Q73" s="201">
        <f>COUNTIFS(CAMPS18!$AK$2:$AK$166,Q$1,CAMPS18!$AQ$2:$AQ$166,$E73)</f>
        <v>0</v>
      </c>
      <c r="R73" s="201">
        <f>COUNTIFS(CAMPS18!$AK$2:$AK$166,R$1,CAMPS18!$AQ$2:$AQ$166,$E73)</f>
        <v>0</v>
      </c>
    </row>
    <row r="74" spans="5:18" x14ac:dyDescent="0.35">
      <c r="E74" s="208">
        <f t="shared" si="3"/>
        <v>73</v>
      </c>
      <c r="F74" s="208">
        <f t="shared" si="2"/>
        <v>1</v>
      </c>
      <c r="G74" s="201">
        <f>COUNTIFS(CAMPS18!$AK$2:$AK$166,G$1,CAMPS18!$AQ$2:$AQ$166,$E74)</f>
        <v>0</v>
      </c>
      <c r="H74" s="201">
        <f>COUNTIFS(CAMPS18!$AK$2:$AK$166,H$1,CAMPS18!$AQ$2:$AQ$166,$E74)</f>
        <v>0</v>
      </c>
      <c r="I74" s="201">
        <f>COUNTIFS(CAMPS18!$AK$2:$AK$166,I$1,CAMPS18!$AQ$2:$AQ$166,$E74)</f>
        <v>0</v>
      </c>
      <c r="J74" s="208">
        <f>COUNTIFS(CAMPS18!$AK$2:$AK$166,J$1,CAMPS18!$AQ$2:$AQ$166,$E74)</f>
        <v>0</v>
      </c>
      <c r="K74" s="201">
        <f>COUNTIFS(CAMPS18!$AK$2:$AK$166,K$1,CAMPS18!$AQ$2:$AQ$166,$E74)</f>
        <v>0</v>
      </c>
      <c r="L74" s="201">
        <f>COUNTIFS(CAMPS18!$AK$2:$AK$166,L$1,CAMPS18!$AQ$2:$AQ$166,$E74)</f>
        <v>0</v>
      </c>
      <c r="M74" s="201">
        <f>COUNTIFS(CAMPS18!$AK$2:$AK$166,M$1,CAMPS18!$AQ$2:$AQ$166,$E74)</f>
        <v>1</v>
      </c>
      <c r="N74" s="201">
        <f>COUNTIFS(CAMPS18!$AK$2:$AK$166,N$1,CAMPS18!$AQ$2:$AQ$166,$E74)</f>
        <v>0</v>
      </c>
      <c r="O74" s="201">
        <f>COUNTIFS(CAMPS18!$AK$2:$AK$166,O$1,CAMPS18!$AQ$2:$AQ$166,$E74)</f>
        <v>0</v>
      </c>
      <c r="P74" s="201">
        <f>COUNTIFS(CAMPS18!$AK$2:$AK$166,P$1,CAMPS18!$AQ$2:$AQ$166,$E74)</f>
        <v>0</v>
      </c>
      <c r="Q74" s="201">
        <f>COUNTIFS(CAMPS18!$AK$2:$AK$166,Q$1,CAMPS18!$AQ$2:$AQ$166,$E74)</f>
        <v>0</v>
      </c>
      <c r="R74" s="201">
        <f>COUNTIFS(CAMPS18!$AK$2:$AK$166,R$1,CAMPS18!$AQ$2:$AQ$166,$E74)</f>
        <v>0</v>
      </c>
    </row>
    <row r="75" spans="5:18" x14ac:dyDescent="0.35">
      <c r="E75" s="208">
        <f t="shared" si="3"/>
        <v>74</v>
      </c>
      <c r="F75" s="208">
        <f t="shared" si="2"/>
        <v>0</v>
      </c>
      <c r="G75" s="201">
        <f>COUNTIFS(CAMPS18!$AK$2:$AK$166,G$1,CAMPS18!$AQ$2:$AQ$166,$E75)</f>
        <v>0</v>
      </c>
      <c r="H75" s="201">
        <f>COUNTIFS(CAMPS18!$AK$2:$AK$166,H$1,CAMPS18!$AQ$2:$AQ$166,$E75)</f>
        <v>0</v>
      </c>
      <c r="I75" s="201">
        <f>COUNTIFS(CAMPS18!$AK$2:$AK$166,I$1,CAMPS18!$AQ$2:$AQ$166,$E75)</f>
        <v>0</v>
      </c>
      <c r="J75" s="208">
        <f>COUNTIFS(CAMPS18!$AK$2:$AK$166,J$1,CAMPS18!$AQ$2:$AQ$166,$E75)</f>
        <v>0</v>
      </c>
      <c r="K75" s="201">
        <f>COUNTIFS(CAMPS18!$AK$2:$AK$166,K$1,CAMPS18!$AQ$2:$AQ$166,$E75)</f>
        <v>0</v>
      </c>
      <c r="L75" s="201">
        <f>COUNTIFS(CAMPS18!$AK$2:$AK$166,L$1,CAMPS18!$AQ$2:$AQ$166,$E75)</f>
        <v>0</v>
      </c>
      <c r="M75" s="201">
        <f>COUNTIFS(CAMPS18!$AK$2:$AK$166,M$1,CAMPS18!$AQ$2:$AQ$166,$E75)</f>
        <v>0</v>
      </c>
      <c r="N75" s="201">
        <f>COUNTIFS(CAMPS18!$AK$2:$AK$166,N$1,CAMPS18!$AQ$2:$AQ$166,$E75)</f>
        <v>0</v>
      </c>
      <c r="O75" s="201">
        <f>COUNTIFS(CAMPS18!$AK$2:$AK$166,O$1,CAMPS18!$AQ$2:$AQ$166,$E75)</f>
        <v>0</v>
      </c>
      <c r="P75" s="201">
        <f>COUNTIFS(CAMPS18!$AK$2:$AK$166,P$1,CAMPS18!$AQ$2:$AQ$166,$E75)</f>
        <v>0</v>
      </c>
      <c r="Q75" s="201">
        <f>COUNTIFS(CAMPS18!$AK$2:$AK$166,Q$1,CAMPS18!$AQ$2:$AQ$166,$E75)</f>
        <v>0</v>
      </c>
      <c r="R75" s="201">
        <f>COUNTIFS(CAMPS18!$AK$2:$AK$166,R$1,CAMPS18!$AQ$2:$AQ$166,$E75)</f>
        <v>0</v>
      </c>
    </row>
    <row r="76" spans="5:18" x14ac:dyDescent="0.35">
      <c r="E76" s="208">
        <f t="shared" si="3"/>
        <v>75</v>
      </c>
      <c r="F76" s="208">
        <f t="shared" si="2"/>
        <v>0</v>
      </c>
      <c r="G76" s="201">
        <f>COUNTIFS(CAMPS18!$AK$2:$AK$166,G$1,CAMPS18!$AQ$2:$AQ$166,$E76)</f>
        <v>0</v>
      </c>
      <c r="H76" s="201">
        <f>COUNTIFS(CAMPS18!$AK$2:$AK$166,H$1,CAMPS18!$AQ$2:$AQ$166,$E76)</f>
        <v>0</v>
      </c>
      <c r="I76" s="201">
        <f>COUNTIFS(CAMPS18!$AK$2:$AK$166,I$1,CAMPS18!$AQ$2:$AQ$166,$E76)</f>
        <v>0</v>
      </c>
      <c r="J76" s="208">
        <f>COUNTIFS(CAMPS18!$AK$2:$AK$166,J$1,CAMPS18!$AQ$2:$AQ$166,$E76)</f>
        <v>0</v>
      </c>
      <c r="K76" s="201">
        <f>COUNTIFS(CAMPS18!$AK$2:$AK$166,K$1,CAMPS18!$AQ$2:$AQ$166,$E76)</f>
        <v>0</v>
      </c>
      <c r="L76" s="201">
        <f>COUNTIFS(CAMPS18!$AK$2:$AK$166,L$1,CAMPS18!$AQ$2:$AQ$166,$E76)</f>
        <v>0</v>
      </c>
      <c r="M76" s="201">
        <f>COUNTIFS(CAMPS18!$AK$2:$AK$166,M$1,CAMPS18!$AQ$2:$AQ$166,$E76)</f>
        <v>0</v>
      </c>
      <c r="N76" s="201">
        <f>COUNTIFS(CAMPS18!$AK$2:$AK$166,N$1,CAMPS18!$AQ$2:$AQ$166,$E76)</f>
        <v>0</v>
      </c>
      <c r="O76" s="201">
        <f>COUNTIFS(CAMPS18!$AK$2:$AK$166,O$1,CAMPS18!$AQ$2:$AQ$166,$E76)</f>
        <v>0</v>
      </c>
      <c r="P76" s="201">
        <f>COUNTIFS(CAMPS18!$AK$2:$AK$166,P$1,CAMPS18!$AQ$2:$AQ$166,$E76)</f>
        <v>0</v>
      </c>
      <c r="Q76" s="201">
        <f>COUNTIFS(CAMPS18!$AK$2:$AK$166,Q$1,CAMPS18!$AQ$2:$AQ$166,$E76)</f>
        <v>0</v>
      </c>
      <c r="R76" s="201">
        <f>COUNTIFS(CAMPS18!$AK$2:$AK$166,R$1,CAMPS18!$AQ$2:$AQ$166,$E76)</f>
        <v>0</v>
      </c>
    </row>
    <row r="77" spans="5:18" x14ac:dyDescent="0.35">
      <c r="E77" s="208">
        <f t="shared" si="3"/>
        <v>76</v>
      </c>
      <c r="F77" s="208">
        <f t="shared" si="2"/>
        <v>2</v>
      </c>
      <c r="G77" s="201">
        <f>COUNTIFS(CAMPS18!$AK$2:$AK$166,G$1,CAMPS18!$AQ$2:$AQ$166,$E77)</f>
        <v>0</v>
      </c>
      <c r="H77" s="201">
        <f>COUNTIFS(CAMPS18!$AK$2:$AK$166,H$1,CAMPS18!$AQ$2:$AQ$166,$E77)</f>
        <v>0</v>
      </c>
      <c r="I77" s="201">
        <f>COUNTIFS(CAMPS18!$AK$2:$AK$166,I$1,CAMPS18!$AQ$2:$AQ$166,$E77)</f>
        <v>0</v>
      </c>
      <c r="J77" s="208">
        <f>COUNTIFS(CAMPS18!$AK$2:$AK$166,J$1,CAMPS18!$AQ$2:$AQ$166,$E77)</f>
        <v>0</v>
      </c>
      <c r="K77" s="201">
        <f>COUNTIFS(CAMPS18!$AK$2:$AK$166,K$1,CAMPS18!$AQ$2:$AQ$166,$E77)</f>
        <v>0</v>
      </c>
      <c r="L77" s="201">
        <f>COUNTIFS(CAMPS18!$AK$2:$AK$166,L$1,CAMPS18!$AQ$2:$AQ$166,$E77)</f>
        <v>0</v>
      </c>
      <c r="M77" s="201">
        <f>COUNTIFS(CAMPS18!$AK$2:$AK$166,M$1,CAMPS18!$AQ$2:$AQ$166,$E77)</f>
        <v>0</v>
      </c>
      <c r="N77" s="201">
        <f>COUNTIFS(CAMPS18!$AK$2:$AK$166,N$1,CAMPS18!$AQ$2:$AQ$166,$E77)</f>
        <v>2</v>
      </c>
      <c r="O77" s="201">
        <f>COUNTIFS(CAMPS18!$AK$2:$AK$166,O$1,CAMPS18!$AQ$2:$AQ$166,$E77)</f>
        <v>0</v>
      </c>
      <c r="P77" s="201">
        <f>COUNTIFS(CAMPS18!$AK$2:$AK$166,P$1,CAMPS18!$AQ$2:$AQ$166,$E77)</f>
        <v>0</v>
      </c>
      <c r="Q77" s="201">
        <f>COUNTIFS(CAMPS18!$AK$2:$AK$166,Q$1,CAMPS18!$AQ$2:$AQ$166,$E77)</f>
        <v>0</v>
      </c>
      <c r="R77" s="201">
        <f>COUNTIFS(CAMPS18!$AK$2:$AK$166,R$1,CAMPS18!$AQ$2:$AQ$166,$E77)</f>
        <v>0</v>
      </c>
    </row>
    <row r="78" spans="5:18" x14ac:dyDescent="0.35">
      <c r="E78" s="208">
        <f t="shared" si="3"/>
        <v>77</v>
      </c>
      <c r="F78" s="208">
        <f t="shared" si="2"/>
        <v>0</v>
      </c>
      <c r="G78" s="201">
        <f>COUNTIFS(CAMPS18!$AK$2:$AK$166,G$1,CAMPS18!$AQ$2:$AQ$166,$E78)</f>
        <v>0</v>
      </c>
      <c r="H78" s="201">
        <f>COUNTIFS(CAMPS18!$AK$2:$AK$166,H$1,CAMPS18!$AQ$2:$AQ$166,$E78)</f>
        <v>0</v>
      </c>
      <c r="I78" s="201">
        <f>COUNTIFS(CAMPS18!$AK$2:$AK$166,I$1,CAMPS18!$AQ$2:$AQ$166,$E78)</f>
        <v>0</v>
      </c>
      <c r="J78" s="208">
        <f>COUNTIFS(CAMPS18!$AK$2:$AK$166,J$1,CAMPS18!$AQ$2:$AQ$166,$E78)</f>
        <v>0</v>
      </c>
      <c r="K78" s="201">
        <f>COUNTIFS(CAMPS18!$AK$2:$AK$166,K$1,CAMPS18!$AQ$2:$AQ$166,$E78)</f>
        <v>0</v>
      </c>
      <c r="L78" s="201">
        <f>COUNTIFS(CAMPS18!$AK$2:$AK$166,L$1,CAMPS18!$AQ$2:$AQ$166,$E78)</f>
        <v>0</v>
      </c>
      <c r="M78" s="201">
        <f>COUNTIFS(CAMPS18!$AK$2:$AK$166,M$1,CAMPS18!$AQ$2:$AQ$166,$E78)</f>
        <v>0</v>
      </c>
      <c r="N78" s="201">
        <f>COUNTIFS(CAMPS18!$AK$2:$AK$166,N$1,CAMPS18!$AQ$2:$AQ$166,$E78)</f>
        <v>0</v>
      </c>
      <c r="O78" s="201">
        <f>COUNTIFS(CAMPS18!$AK$2:$AK$166,O$1,CAMPS18!$AQ$2:$AQ$166,$E78)</f>
        <v>0</v>
      </c>
      <c r="P78" s="201">
        <f>COUNTIFS(CAMPS18!$AK$2:$AK$166,P$1,CAMPS18!$AQ$2:$AQ$166,$E78)</f>
        <v>0</v>
      </c>
      <c r="Q78" s="201">
        <f>COUNTIFS(CAMPS18!$AK$2:$AK$166,Q$1,CAMPS18!$AQ$2:$AQ$166,$E78)</f>
        <v>0</v>
      </c>
      <c r="R78" s="201">
        <f>COUNTIFS(CAMPS18!$AK$2:$AK$166,R$1,CAMPS18!$AQ$2:$AQ$166,$E78)</f>
        <v>0</v>
      </c>
    </row>
    <row r="79" spans="5:18" x14ac:dyDescent="0.35">
      <c r="E79" s="208">
        <f t="shared" si="3"/>
        <v>78</v>
      </c>
      <c r="F79" s="208">
        <f t="shared" si="2"/>
        <v>0</v>
      </c>
      <c r="G79" s="201">
        <f>COUNTIFS(CAMPS18!$AK$2:$AK$166,G$1,CAMPS18!$AQ$2:$AQ$166,$E79)</f>
        <v>0</v>
      </c>
      <c r="H79" s="201">
        <f>COUNTIFS(CAMPS18!$AK$2:$AK$166,H$1,CAMPS18!$AQ$2:$AQ$166,$E79)</f>
        <v>0</v>
      </c>
      <c r="I79" s="201">
        <f>COUNTIFS(CAMPS18!$AK$2:$AK$166,I$1,CAMPS18!$AQ$2:$AQ$166,$E79)</f>
        <v>0</v>
      </c>
      <c r="J79" s="208">
        <f>COUNTIFS(CAMPS18!$AK$2:$AK$166,J$1,CAMPS18!$AQ$2:$AQ$166,$E79)</f>
        <v>0</v>
      </c>
      <c r="K79" s="201">
        <f>COUNTIFS(CAMPS18!$AK$2:$AK$166,K$1,CAMPS18!$AQ$2:$AQ$166,$E79)</f>
        <v>0</v>
      </c>
      <c r="L79" s="201">
        <f>COUNTIFS(CAMPS18!$AK$2:$AK$166,L$1,CAMPS18!$AQ$2:$AQ$166,$E79)</f>
        <v>0</v>
      </c>
      <c r="M79" s="201">
        <f>COUNTIFS(CAMPS18!$AK$2:$AK$166,M$1,CAMPS18!$AQ$2:$AQ$166,$E79)</f>
        <v>0</v>
      </c>
      <c r="N79" s="201">
        <f>COUNTIFS(CAMPS18!$AK$2:$AK$166,N$1,CAMPS18!$AQ$2:$AQ$166,$E79)</f>
        <v>0</v>
      </c>
      <c r="O79" s="201">
        <f>COUNTIFS(CAMPS18!$AK$2:$AK$166,O$1,CAMPS18!$AQ$2:$AQ$166,$E79)</f>
        <v>0</v>
      </c>
      <c r="P79" s="201">
        <f>COUNTIFS(CAMPS18!$AK$2:$AK$166,P$1,CAMPS18!$AQ$2:$AQ$166,$E79)</f>
        <v>0</v>
      </c>
      <c r="Q79" s="201">
        <f>COUNTIFS(CAMPS18!$AK$2:$AK$166,Q$1,CAMPS18!$AQ$2:$AQ$166,$E79)</f>
        <v>0</v>
      </c>
      <c r="R79" s="201">
        <f>COUNTIFS(CAMPS18!$AK$2:$AK$166,R$1,CAMPS18!$AQ$2:$AQ$166,$E79)</f>
        <v>0</v>
      </c>
    </row>
    <row r="80" spans="5:18" x14ac:dyDescent="0.35">
      <c r="E80" s="208">
        <f t="shared" si="3"/>
        <v>79</v>
      </c>
      <c r="F80" s="208">
        <f t="shared" si="2"/>
        <v>1</v>
      </c>
      <c r="G80" s="201">
        <f>COUNTIFS(CAMPS18!$AK$2:$AK$166,G$1,CAMPS18!$AQ$2:$AQ$166,$E80)</f>
        <v>0</v>
      </c>
      <c r="H80" s="201">
        <f>COUNTIFS(CAMPS18!$AK$2:$AK$166,H$1,CAMPS18!$AQ$2:$AQ$166,$E80)</f>
        <v>0</v>
      </c>
      <c r="I80" s="201">
        <f>COUNTIFS(CAMPS18!$AK$2:$AK$166,I$1,CAMPS18!$AQ$2:$AQ$166,$E80)</f>
        <v>0</v>
      </c>
      <c r="J80" s="208">
        <f>COUNTIFS(CAMPS18!$AK$2:$AK$166,J$1,CAMPS18!$AQ$2:$AQ$166,$E80)</f>
        <v>0</v>
      </c>
      <c r="K80" s="201">
        <f>COUNTIFS(CAMPS18!$AK$2:$AK$166,K$1,CAMPS18!$AQ$2:$AQ$166,$E80)</f>
        <v>0</v>
      </c>
      <c r="L80" s="201">
        <f>COUNTIFS(CAMPS18!$AK$2:$AK$166,L$1,CAMPS18!$AQ$2:$AQ$166,$E80)</f>
        <v>0</v>
      </c>
      <c r="M80" s="201">
        <f>COUNTIFS(CAMPS18!$AK$2:$AK$166,M$1,CAMPS18!$AQ$2:$AQ$166,$E80)</f>
        <v>1</v>
      </c>
      <c r="N80" s="201">
        <f>COUNTIFS(CAMPS18!$AK$2:$AK$166,N$1,CAMPS18!$AQ$2:$AQ$166,$E80)</f>
        <v>0</v>
      </c>
      <c r="O80" s="201">
        <f>COUNTIFS(CAMPS18!$AK$2:$AK$166,O$1,CAMPS18!$AQ$2:$AQ$166,$E80)</f>
        <v>0</v>
      </c>
      <c r="P80" s="201">
        <f>COUNTIFS(CAMPS18!$AK$2:$AK$166,P$1,CAMPS18!$AQ$2:$AQ$166,$E80)</f>
        <v>0</v>
      </c>
      <c r="Q80" s="201">
        <f>COUNTIFS(CAMPS18!$AK$2:$AK$166,Q$1,CAMPS18!$AQ$2:$AQ$166,$E80)</f>
        <v>0</v>
      </c>
      <c r="R80" s="201">
        <f>COUNTIFS(CAMPS18!$AK$2:$AK$166,R$1,CAMPS18!$AQ$2:$AQ$166,$E80)</f>
        <v>0</v>
      </c>
    </row>
    <row r="81" spans="5:18" x14ac:dyDescent="0.35">
      <c r="E81" s="208">
        <f t="shared" si="3"/>
        <v>80</v>
      </c>
      <c r="F81" s="208">
        <f t="shared" si="2"/>
        <v>0</v>
      </c>
      <c r="G81" s="201">
        <f>COUNTIFS(CAMPS18!$AK$2:$AK$166,G$1,CAMPS18!$AQ$2:$AQ$166,$E81)</f>
        <v>0</v>
      </c>
      <c r="H81" s="201">
        <f>COUNTIFS(CAMPS18!$AK$2:$AK$166,H$1,CAMPS18!$AQ$2:$AQ$166,$E81)</f>
        <v>0</v>
      </c>
      <c r="I81" s="201">
        <f>COUNTIFS(CAMPS18!$AK$2:$AK$166,I$1,CAMPS18!$AQ$2:$AQ$166,$E81)</f>
        <v>0</v>
      </c>
      <c r="J81" s="208">
        <f>COUNTIFS(CAMPS18!$AK$2:$AK$166,J$1,CAMPS18!$AQ$2:$AQ$166,$E81)</f>
        <v>0</v>
      </c>
      <c r="K81" s="201">
        <f>COUNTIFS(CAMPS18!$AK$2:$AK$166,K$1,CAMPS18!$AQ$2:$AQ$166,$E81)</f>
        <v>0</v>
      </c>
      <c r="L81" s="201">
        <f>COUNTIFS(CAMPS18!$AK$2:$AK$166,L$1,CAMPS18!$AQ$2:$AQ$166,$E81)</f>
        <v>0</v>
      </c>
      <c r="M81" s="201">
        <f>COUNTIFS(CAMPS18!$AK$2:$AK$166,M$1,CAMPS18!$AQ$2:$AQ$166,$E81)</f>
        <v>0</v>
      </c>
      <c r="N81" s="201">
        <f>COUNTIFS(CAMPS18!$AK$2:$AK$166,N$1,CAMPS18!$AQ$2:$AQ$166,$E81)</f>
        <v>0</v>
      </c>
      <c r="O81" s="201">
        <f>COUNTIFS(CAMPS18!$AK$2:$AK$166,O$1,CAMPS18!$AQ$2:$AQ$166,$E81)</f>
        <v>0</v>
      </c>
      <c r="P81" s="201">
        <f>COUNTIFS(CAMPS18!$AK$2:$AK$166,P$1,CAMPS18!$AQ$2:$AQ$166,$E81)</f>
        <v>0</v>
      </c>
      <c r="Q81" s="201">
        <f>COUNTIFS(CAMPS18!$AK$2:$AK$166,Q$1,CAMPS18!$AQ$2:$AQ$166,$E81)</f>
        <v>0</v>
      </c>
      <c r="R81" s="201">
        <f>COUNTIFS(CAMPS18!$AK$2:$AK$166,R$1,CAMPS18!$AQ$2:$AQ$166,$E81)</f>
        <v>0</v>
      </c>
    </row>
    <row r="82" spans="5:18" x14ac:dyDescent="0.35">
      <c r="E82" s="208">
        <f t="shared" si="3"/>
        <v>81</v>
      </c>
      <c r="F82" s="208">
        <f t="shared" si="2"/>
        <v>13</v>
      </c>
      <c r="G82" s="201">
        <f>COUNTIFS(CAMPS18!$AK$2:$AK$166,G$1,CAMPS18!$AQ$2:$AQ$166,$E82)</f>
        <v>0</v>
      </c>
      <c r="H82" s="201">
        <f>COUNTIFS(CAMPS18!$AK$2:$AK$166,H$1,CAMPS18!$AQ$2:$AQ$166,$E82)</f>
        <v>0</v>
      </c>
      <c r="I82" s="201">
        <f>COUNTIFS(CAMPS18!$AK$2:$AK$166,I$1,CAMPS18!$AQ$2:$AQ$166,$E82)</f>
        <v>0</v>
      </c>
      <c r="J82" s="208">
        <f>COUNTIFS(CAMPS18!$AK$2:$AK$166,J$1,CAMPS18!$AQ$2:$AQ$166,$E82)</f>
        <v>11</v>
      </c>
      <c r="K82" s="201">
        <f>COUNTIFS(CAMPS18!$AK$2:$AK$166,K$1,CAMPS18!$AQ$2:$AQ$166,$E82)</f>
        <v>0</v>
      </c>
      <c r="L82" s="201">
        <f>COUNTIFS(CAMPS18!$AK$2:$AK$166,L$1,CAMPS18!$AQ$2:$AQ$166,$E82)</f>
        <v>0</v>
      </c>
      <c r="M82" s="201">
        <f>COUNTIFS(CAMPS18!$AK$2:$AK$166,M$1,CAMPS18!$AQ$2:$AQ$166,$E82)</f>
        <v>0</v>
      </c>
      <c r="N82" s="201">
        <f>COUNTIFS(CAMPS18!$AK$2:$AK$166,N$1,CAMPS18!$AQ$2:$AQ$166,$E82)</f>
        <v>1</v>
      </c>
      <c r="O82" s="201">
        <f>COUNTIFS(CAMPS18!$AK$2:$AK$166,O$1,CAMPS18!$AQ$2:$AQ$166,$E82)</f>
        <v>1</v>
      </c>
      <c r="P82" s="201">
        <f>COUNTIFS(CAMPS18!$AK$2:$AK$166,P$1,CAMPS18!$AQ$2:$AQ$166,$E82)</f>
        <v>0</v>
      </c>
      <c r="Q82" s="201">
        <f>COUNTIFS(CAMPS18!$AK$2:$AK$166,Q$1,CAMPS18!$AQ$2:$AQ$166,$E82)</f>
        <v>0</v>
      </c>
      <c r="R82" s="201">
        <f>COUNTIFS(CAMPS18!$AK$2:$AK$166,R$1,CAMPS18!$AQ$2:$AQ$166,$E82)</f>
        <v>0</v>
      </c>
    </row>
    <row r="83" spans="5:18" x14ac:dyDescent="0.35">
      <c r="E83" s="208">
        <f t="shared" si="3"/>
        <v>82</v>
      </c>
      <c r="F83" s="208">
        <f t="shared" si="2"/>
        <v>1</v>
      </c>
      <c r="G83" s="201">
        <f>COUNTIFS(CAMPS18!$AK$2:$AK$166,G$1,CAMPS18!$AQ$2:$AQ$166,$E83)</f>
        <v>0</v>
      </c>
      <c r="H83" s="201">
        <f>COUNTIFS(CAMPS18!$AK$2:$AK$166,H$1,CAMPS18!$AQ$2:$AQ$166,$E83)</f>
        <v>0</v>
      </c>
      <c r="I83" s="201">
        <f>COUNTIFS(CAMPS18!$AK$2:$AK$166,I$1,CAMPS18!$AQ$2:$AQ$166,$E83)</f>
        <v>0</v>
      </c>
      <c r="J83" s="208">
        <f>COUNTIFS(CAMPS18!$AK$2:$AK$166,J$1,CAMPS18!$AQ$2:$AQ$166,$E83)</f>
        <v>0</v>
      </c>
      <c r="K83" s="201">
        <f>COUNTIFS(CAMPS18!$AK$2:$AK$166,K$1,CAMPS18!$AQ$2:$AQ$166,$E83)</f>
        <v>0</v>
      </c>
      <c r="L83" s="201">
        <f>COUNTIFS(CAMPS18!$AK$2:$AK$166,L$1,CAMPS18!$AQ$2:$AQ$166,$E83)</f>
        <v>0</v>
      </c>
      <c r="M83" s="201">
        <f>COUNTIFS(CAMPS18!$AK$2:$AK$166,M$1,CAMPS18!$AQ$2:$AQ$166,$E83)</f>
        <v>1</v>
      </c>
      <c r="N83" s="201">
        <f>COUNTIFS(CAMPS18!$AK$2:$AK$166,N$1,CAMPS18!$AQ$2:$AQ$166,$E83)</f>
        <v>0</v>
      </c>
      <c r="O83" s="201">
        <f>COUNTIFS(CAMPS18!$AK$2:$AK$166,O$1,CAMPS18!$AQ$2:$AQ$166,$E83)</f>
        <v>0</v>
      </c>
      <c r="P83" s="201">
        <f>COUNTIFS(CAMPS18!$AK$2:$AK$166,P$1,CAMPS18!$AQ$2:$AQ$166,$E83)</f>
        <v>0</v>
      </c>
      <c r="Q83" s="201">
        <f>COUNTIFS(CAMPS18!$AK$2:$AK$166,Q$1,CAMPS18!$AQ$2:$AQ$166,$E83)</f>
        <v>0</v>
      </c>
      <c r="R83" s="201">
        <f>COUNTIFS(CAMPS18!$AK$2:$AK$166,R$1,CAMPS18!$AQ$2:$AQ$166,$E83)</f>
        <v>0</v>
      </c>
    </row>
    <row r="84" spans="5:18" x14ac:dyDescent="0.35">
      <c r="E84" s="208">
        <f t="shared" si="3"/>
        <v>83</v>
      </c>
      <c r="F84" s="208">
        <f t="shared" si="2"/>
        <v>0</v>
      </c>
      <c r="G84" s="201">
        <f>COUNTIFS(CAMPS18!$AK$2:$AK$166,G$1,CAMPS18!$AQ$2:$AQ$166,$E84)</f>
        <v>0</v>
      </c>
      <c r="H84" s="201">
        <f>COUNTIFS(CAMPS18!$AK$2:$AK$166,H$1,CAMPS18!$AQ$2:$AQ$166,$E84)</f>
        <v>0</v>
      </c>
      <c r="I84" s="201">
        <f>COUNTIFS(CAMPS18!$AK$2:$AK$166,I$1,CAMPS18!$AQ$2:$AQ$166,$E84)</f>
        <v>0</v>
      </c>
      <c r="J84" s="208">
        <f>COUNTIFS(CAMPS18!$AK$2:$AK$166,J$1,CAMPS18!$AQ$2:$AQ$166,$E84)</f>
        <v>0</v>
      </c>
      <c r="K84" s="201">
        <f>COUNTIFS(CAMPS18!$AK$2:$AK$166,K$1,CAMPS18!$AQ$2:$AQ$166,$E84)</f>
        <v>0</v>
      </c>
      <c r="L84" s="201">
        <f>COUNTIFS(CAMPS18!$AK$2:$AK$166,L$1,CAMPS18!$AQ$2:$AQ$166,$E84)</f>
        <v>0</v>
      </c>
      <c r="M84" s="201">
        <f>COUNTIFS(CAMPS18!$AK$2:$AK$166,M$1,CAMPS18!$AQ$2:$AQ$166,$E84)</f>
        <v>0</v>
      </c>
      <c r="N84" s="201">
        <f>COUNTIFS(CAMPS18!$AK$2:$AK$166,N$1,CAMPS18!$AQ$2:$AQ$166,$E84)</f>
        <v>0</v>
      </c>
      <c r="O84" s="201">
        <f>COUNTIFS(CAMPS18!$AK$2:$AK$166,O$1,CAMPS18!$AQ$2:$AQ$166,$E84)</f>
        <v>0</v>
      </c>
      <c r="P84" s="201">
        <f>COUNTIFS(CAMPS18!$AK$2:$AK$166,P$1,CAMPS18!$AQ$2:$AQ$166,$E84)</f>
        <v>0</v>
      </c>
      <c r="Q84" s="201">
        <f>COUNTIFS(CAMPS18!$AK$2:$AK$166,Q$1,CAMPS18!$AQ$2:$AQ$166,$E84)</f>
        <v>0</v>
      </c>
      <c r="R84" s="201">
        <f>COUNTIFS(CAMPS18!$AK$2:$AK$166,R$1,CAMPS18!$AQ$2:$AQ$166,$E84)</f>
        <v>0</v>
      </c>
    </row>
    <row r="85" spans="5:18" x14ac:dyDescent="0.35">
      <c r="E85" s="208">
        <f t="shared" si="3"/>
        <v>84</v>
      </c>
      <c r="F85" s="208">
        <f t="shared" si="2"/>
        <v>1</v>
      </c>
      <c r="G85" s="201">
        <f>COUNTIFS(CAMPS18!$AK$2:$AK$166,G$1,CAMPS18!$AQ$2:$AQ$166,$E85)</f>
        <v>0</v>
      </c>
      <c r="H85" s="201">
        <f>COUNTIFS(CAMPS18!$AK$2:$AK$166,H$1,CAMPS18!$AQ$2:$AQ$166,$E85)</f>
        <v>0</v>
      </c>
      <c r="I85" s="201">
        <f>COUNTIFS(CAMPS18!$AK$2:$AK$166,I$1,CAMPS18!$AQ$2:$AQ$166,$E85)</f>
        <v>0</v>
      </c>
      <c r="J85" s="208">
        <f>COUNTIFS(CAMPS18!$AK$2:$AK$166,J$1,CAMPS18!$AQ$2:$AQ$166,$E85)</f>
        <v>1</v>
      </c>
      <c r="K85" s="201">
        <f>COUNTIFS(CAMPS18!$AK$2:$AK$166,K$1,CAMPS18!$AQ$2:$AQ$166,$E85)</f>
        <v>0</v>
      </c>
      <c r="L85" s="201">
        <f>COUNTIFS(CAMPS18!$AK$2:$AK$166,L$1,CAMPS18!$AQ$2:$AQ$166,$E85)</f>
        <v>0</v>
      </c>
      <c r="M85" s="201">
        <f>COUNTIFS(CAMPS18!$AK$2:$AK$166,M$1,CAMPS18!$AQ$2:$AQ$166,$E85)</f>
        <v>0</v>
      </c>
      <c r="N85" s="201">
        <f>COUNTIFS(CAMPS18!$AK$2:$AK$166,N$1,CAMPS18!$AQ$2:$AQ$166,$E85)</f>
        <v>0</v>
      </c>
      <c r="O85" s="201">
        <f>COUNTIFS(CAMPS18!$AK$2:$AK$166,O$1,CAMPS18!$AQ$2:$AQ$166,$E85)</f>
        <v>0</v>
      </c>
      <c r="P85" s="201">
        <f>COUNTIFS(CAMPS18!$AK$2:$AK$166,P$1,CAMPS18!$AQ$2:$AQ$166,$E85)</f>
        <v>0</v>
      </c>
      <c r="Q85" s="201">
        <f>COUNTIFS(CAMPS18!$AK$2:$AK$166,Q$1,CAMPS18!$AQ$2:$AQ$166,$E85)</f>
        <v>0</v>
      </c>
      <c r="R85" s="201">
        <f>COUNTIFS(CAMPS18!$AK$2:$AK$166,R$1,CAMPS18!$AQ$2:$AQ$166,$E85)</f>
        <v>0</v>
      </c>
    </row>
    <row r="86" spans="5:18" x14ac:dyDescent="0.35">
      <c r="E86" s="208">
        <f t="shared" si="3"/>
        <v>85</v>
      </c>
      <c r="F86" s="208">
        <f t="shared" si="2"/>
        <v>1</v>
      </c>
      <c r="G86" s="201">
        <f>COUNTIFS(CAMPS18!$AK$2:$AK$166,G$1,CAMPS18!$AQ$2:$AQ$166,$E86)</f>
        <v>0</v>
      </c>
      <c r="H86" s="201">
        <f>COUNTIFS(CAMPS18!$AK$2:$AK$166,H$1,CAMPS18!$AQ$2:$AQ$166,$E86)</f>
        <v>0</v>
      </c>
      <c r="I86" s="201">
        <f>COUNTIFS(CAMPS18!$AK$2:$AK$166,I$1,CAMPS18!$AQ$2:$AQ$166,$E86)</f>
        <v>0</v>
      </c>
      <c r="J86" s="208">
        <f>COUNTIFS(CAMPS18!$AK$2:$AK$166,J$1,CAMPS18!$AQ$2:$AQ$166,$E86)</f>
        <v>0</v>
      </c>
      <c r="K86" s="201">
        <f>COUNTIFS(CAMPS18!$AK$2:$AK$166,K$1,CAMPS18!$AQ$2:$AQ$166,$E86)</f>
        <v>0</v>
      </c>
      <c r="L86" s="201">
        <f>COUNTIFS(CAMPS18!$AK$2:$AK$166,L$1,CAMPS18!$AQ$2:$AQ$166,$E86)</f>
        <v>0</v>
      </c>
      <c r="M86" s="201">
        <f>COUNTIFS(CAMPS18!$AK$2:$AK$166,M$1,CAMPS18!$AQ$2:$AQ$166,$E86)</f>
        <v>1</v>
      </c>
      <c r="N86" s="201">
        <f>COUNTIFS(CAMPS18!$AK$2:$AK$166,N$1,CAMPS18!$AQ$2:$AQ$166,$E86)</f>
        <v>0</v>
      </c>
      <c r="O86" s="201">
        <f>COUNTIFS(CAMPS18!$AK$2:$AK$166,O$1,CAMPS18!$AQ$2:$AQ$166,$E86)</f>
        <v>0</v>
      </c>
      <c r="P86" s="201">
        <f>COUNTIFS(CAMPS18!$AK$2:$AK$166,P$1,CAMPS18!$AQ$2:$AQ$166,$E86)</f>
        <v>0</v>
      </c>
      <c r="Q86" s="201">
        <f>COUNTIFS(CAMPS18!$AK$2:$AK$166,Q$1,CAMPS18!$AQ$2:$AQ$166,$E86)</f>
        <v>0</v>
      </c>
      <c r="R86" s="201">
        <f>COUNTIFS(CAMPS18!$AK$2:$AK$166,R$1,CAMPS18!$AQ$2:$AQ$166,$E86)</f>
        <v>0</v>
      </c>
    </row>
    <row r="87" spans="5:18" x14ac:dyDescent="0.35">
      <c r="E87" s="208">
        <f t="shared" si="3"/>
        <v>86</v>
      </c>
      <c r="F87" s="208">
        <f t="shared" si="2"/>
        <v>4</v>
      </c>
      <c r="G87" s="201">
        <f>COUNTIFS(CAMPS18!$AK$2:$AK$166,G$1,CAMPS18!$AQ$2:$AQ$166,$E87)</f>
        <v>0</v>
      </c>
      <c r="H87" s="201">
        <f>COUNTIFS(CAMPS18!$AK$2:$AK$166,H$1,CAMPS18!$AQ$2:$AQ$166,$E87)</f>
        <v>0</v>
      </c>
      <c r="I87" s="201">
        <f>COUNTIFS(CAMPS18!$AK$2:$AK$166,I$1,CAMPS18!$AQ$2:$AQ$166,$E87)</f>
        <v>0</v>
      </c>
      <c r="J87" s="208">
        <f>COUNTIFS(CAMPS18!$AK$2:$AK$166,J$1,CAMPS18!$AQ$2:$AQ$166,$E87)</f>
        <v>3</v>
      </c>
      <c r="K87" s="201">
        <f>COUNTIFS(CAMPS18!$AK$2:$AK$166,K$1,CAMPS18!$AQ$2:$AQ$166,$E87)</f>
        <v>0</v>
      </c>
      <c r="L87" s="201">
        <f>COUNTIFS(CAMPS18!$AK$2:$AK$166,L$1,CAMPS18!$AQ$2:$AQ$166,$E87)</f>
        <v>0</v>
      </c>
      <c r="M87" s="201">
        <f>COUNTIFS(CAMPS18!$AK$2:$AK$166,M$1,CAMPS18!$AQ$2:$AQ$166,$E87)</f>
        <v>0</v>
      </c>
      <c r="N87" s="201">
        <f>COUNTIFS(CAMPS18!$AK$2:$AK$166,N$1,CAMPS18!$AQ$2:$AQ$166,$E87)</f>
        <v>0</v>
      </c>
      <c r="O87" s="201">
        <f>COUNTIFS(CAMPS18!$AK$2:$AK$166,O$1,CAMPS18!$AQ$2:$AQ$166,$E87)</f>
        <v>1</v>
      </c>
      <c r="P87" s="201">
        <f>COUNTIFS(CAMPS18!$AK$2:$AK$166,P$1,CAMPS18!$AQ$2:$AQ$166,$E87)</f>
        <v>0</v>
      </c>
      <c r="Q87" s="201">
        <f>COUNTIFS(CAMPS18!$AK$2:$AK$166,Q$1,CAMPS18!$AQ$2:$AQ$166,$E87)</f>
        <v>0</v>
      </c>
      <c r="R87" s="201">
        <f>COUNTIFS(CAMPS18!$AK$2:$AK$166,R$1,CAMPS18!$AQ$2:$AQ$166,$E87)</f>
        <v>0</v>
      </c>
    </row>
    <row r="88" spans="5:18" x14ac:dyDescent="0.35">
      <c r="E88" s="208">
        <f t="shared" si="3"/>
        <v>87</v>
      </c>
      <c r="F88" s="208">
        <f t="shared" si="2"/>
        <v>0</v>
      </c>
      <c r="G88" s="201">
        <f>COUNTIFS(CAMPS18!$AK$2:$AK$166,G$1,CAMPS18!$AQ$2:$AQ$166,$E88)</f>
        <v>0</v>
      </c>
      <c r="H88" s="201">
        <f>COUNTIFS(CAMPS18!$AK$2:$AK$166,H$1,CAMPS18!$AQ$2:$AQ$166,$E88)</f>
        <v>0</v>
      </c>
      <c r="I88" s="201">
        <f>COUNTIFS(CAMPS18!$AK$2:$AK$166,I$1,CAMPS18!$AQ$2:$AQ$166,$E88)</f>
        <v>0</v>
      </c>
      <c r="J88" s="208">
        <f>COUNTIFS(CAMPS18!$AK$2:$AK$166,J$1,CAMPS18!$AQ$2:$AQ$166,$E88)</f>
        <v>0</v>
      </c>
      <c r="K88" s="201">
        <f>COUNTIFS(CAMPS18!$AK$2:$AK$166,K$1,CAMPS18!$AQ$2:$AQ$166,$E88)</f>
        <v>0</v>
      </c>
      <c r="L88" s="201">
        <f>COUNTIFS(CAMPS18!$AK$2:$AK$166,L$1,CAMPS18!$AQ$2:$AQ$166,$E88)</f>
        <v>0</v>
      </c>
      <c r="M88" s="201">
        <f>COUNTIFS(CAMPS18!$AK$2:$AK$166,M$1,CAMPS18!$AQ$2:$AQ$166,$E88)</f>
        <v>0</v>
      </c>
      <c r="N88" s="201">
        <f>COUNTIFS(CAMPS18!$AK$2:$AK$166,N$1,CAMPS18!$AQ$2:$AQ$166,$E88)</f>
        <v>0</v>
      </c>
      <c r="O88" s="201">
        <f>COUNTIFS(CAMPS18!$AK$2:$AK$166,O$1,CAMPS18!$AQ$2:$AQ$166,$E88)</f>
        <v>0</v>
      </c>
      <c r="P88" s="201">
        <f>COUNTIFS(CAMPS18!$AK$2:$AK$166,P$1,CAMPS18!$AQ$2:$AQ$166,$E88)</f>
        <v>0</v>
      </c>
      <c r="Q88" s="201">
        <f>COUNTIFS(CAMPS18!$AK$2:$AK$166,Q$1,CAMPS18!$AQ$2:$AQ$166,$E88)</f>
        <v>0</v>
      </c>
      <c r="R88" s="201">
        <f>COUNTIFS(CAMPS18!$AK$2:$AK$166,R$1,CAMPS18!$AQ$2:$AQ$166,$E88)</f>
        <v>0</v>
      </c>
    </row>
    <row r="89" spans="5:18" x14ac:dyDescent="0.35">
      <c r="E89" s="208">
        <f t="shared" si="3"/>
        <v>88</v>
      </c>
      <c r="F89" s="208">
        <f t="shared" si="2"/>
        <v>3</v>
      </c>
      <c r="G89" s="201">
        <f>COUNTIFS(CAMPS18!$AK$2:$AK$166,G$1,CAMPS18!$AQ$2:$AQ$166,$E89)</f>
        <v>3</v>
      </c>
      <c r="H89" s="201">
        <f>COUNTIFS(CAMPS18!$AK$2:$AK$166,H$1,CAMPS18!$AQ$2:$AQ$166,$E89)</f>
        <v>0</v>
      </c>
      <c r="I89" s="201">
        <f>COUNTIFS(CAMPS18!$AK$2:$AK$166,I$1,CAMPS18!$AQ$2:$AQ$166,$E89)</f>
        <v>0</v>
      </c>
      <c r="J89" s="208">
        <f>COUNTIFS(CAMPS18!$AK$2:$AK$166,J$1,CAMPS18!$AQ$2:$AQ$166,$E89)</f>
        <v>0</v>
      </c>
      <c r="K89" s="201">
        <f>COUNTIFS(CAMPS18!$AK$2:$AK$166,K$1,CAMPS18!$AQ$2:$AQ$166,$E89)</f>
        <v>0</v>
      </c>
      <c r="L89" s="201">
        <f>COUNTIFS(CAMPS18!$AK$2:$AK$166,L$1,CAMPS18!$AQ$2:$AQ$166,$E89)</f>
        <v>0</v>
      </c>
      <c r="M89" s="201">
        <f>COUNTIFS(CAMPS18!$AK$2:$AK$166,M$1,CAMPS18!$AQ$2:$AQ$166,$E89)</f>
        <v>0</v>
      </c>
      <c r="N89" s="201">
        <f>COUNTIFS(CAMPS18!$AK$2:$AK$166,N$1,CAMPS18!$AQ$2:$AQ$166,$E89)</f>
        <v>0</v>
      </c>
      <c r="O89" s="201">
        <f>COUNTIFS(CAMPS18!$AK$2:$AK$166,O$1,CAMPS18!$AQ$2:$AQ$166,$E89)</f>
        <v>0</v>
      </c>
      <c r="P89" s="201">
        <f>COUNTIFS(CAMPS18!$AK$2:$AK$166,P$1,CAMPS18!$AQ$2:$AQ$166,$E89)</f>
        <v>0</v>
      </c>
      <c r="Q89" s="201">
        <f>COUNTIFS(CAMPS18!$AK$2:$AK$166,Q$1,CAMPS18!$AQ$2:$AQ$166,$E89)</f>
        <v>0</v>
      </c>
      <c r="R89" s="201">
        <f>COUNTIFS(CAMPS18!$AK$2:$AK$166,R$1,CAMPS18!$AQ$2:$AQ$166,$E89)</f>
        <v>0</v>
      </c>
    </row>
    <row r="90" spans="5:18" x14ac:dyDescent="0.35">
      <c r="E90" s="208">
        <f t="shared" si="3"/>
        <v>89</v>
      </c>
      <c r="F90" s="208">
        <f t="shared" si="2"/>
        <v>0</v>
      </c>
      <c r="G90" s="201">
        <f>COUNTIFS(CAMPS18!$AK$2:$AK$166,G$1,CAMPS18!$AQ$2:$AQ$166,$E90)</f>
        <v>0</v>
      </c>
      <c r="H90" s="201">
        <f>COUNTIFS(CAMPS18!$AK$2:$AK$166,H$1,CAMPS18!$AQ$2:$AQ$166,$E90)</f>
        <v>0</v>
      </c>
      <c r="I90" s="201">
        <f>COUNTIFS(CAMPS18!$AK$2:$AK$166,I$1,CAMPS18!$AQ$2:$AQ$166,$E90)</f>
        <v>0</v>
      </c>
      <c r="J90" s="208">
        <f>COUNTIFS(CAMPS18!$AK$2:$AK$166,J$1,CAMPS18!$AQ$2:$AQ$166,$E90)</f>
        <v>0</v>
      </c>
      <c r="K90" s="201">
        <f>COUNTIFS(CAMPS18!$AK$2:$AK$166,K$1,CAMPS18!$AQ$2:$AQ$166,$E90)</f>
        <v>0</v>
      </c>
      <c r="L90" s="201">
        <f>COUNTIFS(CAMPS18!$AK$2:$AK$166,L$1,CAMPS18!$AQ$2:$AQ$166,$E90)</f>
        <v>0</v>
      </c>
      <c r="M90" s="201">
        <f>COUNTIFS(CAMPS18!$AK$2:$AK$166,M$1,CAMPS18!$AQ$2:$AQ$166,$E90)</f>
        <v>0</v>
      </c>
      <c r="N90" s="201">
        <f>COUNTIFS(CAMPS18!$AK$2:$AK$166,N$1,CAMPS18!$AQ$2:$AQ$166,$E90)</f>
        <v>0</v>
      </c>
      <c r="O90" s="201">
        <f>COUNTIFS(CAMPS18!$AK$2:$AK$166,O$1,CAMPS18!$AQ$2:$AQ$166,$E90)</f>
        <v>0</v>
      </c>
      <c r="P90" s="201">
        <f>COUNTIFS(CAMPS18!$AK$2:$AK$166,P$1,CAMPS18!$AQ$2:$AQ$166,$E90)</f>
        <v>0</v>
      </c>
      <c r="Q90" s="201">
        <f>COUNTIFS(CAMPS18!$AK$2:$AK$166,Q$1,CAMPS18!$AQ$2:$AQ$166,$E90)</f>
        <v>0</v>
      </c>
      <c r="R90" s="201">
        <f>COUNTIFS(CAMPS18!$AK$2:$AK$166,R$1,CAMPS18!$AQ$2:$AQ$166,$E90)</f>
        <v>0</v>
      </c>
    </row>
    <row r="91" spans="5:18" x14ac:dyDescent="0.35">
      <c r="E91" s="208">
        <f t="shared" si="3"/>
        <v>90</v>
      </c>
      <c r="F91" s="208">
        <f t="shared" si="2"/>
        <v>1</v>
      </c>
      <c r="G91" s="201">
        <f>COUNTIFS(CAMPS18!$AK$2:$AK$166,G$1,CAMPS18!$AQ$2:$AQ$166,$E91)</f>
        <v>1</v>
      </c>
      <c r="H91" s="201">
        <f>COUNTIFS(CAMPS18!$AK$2:$AK$166,H$1,CAMPS18!$AQ$2:$AQ$166,$E91)</f>
        <v>0</v>
      </c>
      <c r="I91" s="201">
        <f>COUNTIFS(CAMPS18!$AK$2:$AK$166,I$1,CAMPS18!$AQ$2:$AQ$166,$E91)</f>
        <v>0</v>
      </c>
      <c r="J91" s="208">
        <f>COUNTIFS(CAMPS18!$AK$2:$AK$166,J$1,CAMPS18!$AQ$2:$AQ$166,$E91)</f>
        <v>0</v>
      </c>
      <c r="K91" s="201">
        <f>COUNTIFS(CAMPS18!$AK$2:$AK$166,K$1,CAMPS18!$AQ$2:$AQ$166,$E91)</f>
        <v>0</v>
      </c>
      <c r="L91" s="201">
        <f>COUNTIFS(CAMPS18!$AK$2:$AK$166,L$1,CAMPS18!$AQ$2:$AQ$166,$E91)</f>
        <v>0</v>
      </c>
      <c r="M91" s="201">
        <f>COUNTIFS(CAMPS18!$AK$2:$AK$166,M$1,CAMPS18!$AQ$2:$AQ$166,$E91)</f>
        <v>0</v>
      </c>
      <c r="N91" s="201">
        <f>COUNTIFS(CAMPS18!$AK$2:$AK$166,N$1,CAMPS18!$AQ$2:$AQ$166,$E91)</f>
        <v>0</v>
      </c>
      <c r="O91" s="201">
        <f>COUNTIFS(CAMPS18!$AK$2:$AK$166,O$1,CAMPS18!$AQ$2:$AQ$166,$E91)</f>
        <v>0</v>
      </c>
      <c r="P91" s="201">
        <f>COUNTIFS(CAMPS18!$AK$2:$AK$166,P$1,CAMPS18!$AQ$2:$AQ$166,$E91)</f>
        <v>0</v>
      </c>
      <c r="Q91" s="201">
        <f>COUNTIFS(CAMPS18!$AK$2:$AK$166,Q$1,CAMPS18!$AQ$2:$AQ$166,$E91)</f>
        <v>0</v>
      </c>
      <c r="R91" s="201">
        <f>COUNTIFS(CAMPS18!$AK$2:$AK$166,R$1,CAMPS18!$AQ$2:$AQ$166,$E91)</f>
        <v>0</v>
      </c>
    </row>
    <row r="92" spans="5:18" x14ac:dyDescent="0.35">
      <c r="E92" s="208">
        <f t="shared" si="3"/>
        <v>91</v>
      </c>
      <c r="F92" s="208">
        <f t="shared" si="2"/>
        <v>0</v>
      </c>
      <c r="G92" s="201">
        <f>COUNTIFS(CAMPS18!$AK$2:$AK$166,G$1,CAMPS18!$AQ$2:$AQ$166,$E92)</f>
        <v>0</v>
      </c>
      <c r="H92" s="201">
        <f>COUNTIFS(CAMPS18!$AK$2:$AK$166,H$1,CAMPS18!$AQ$2:$AQ$166,$E92)</f>
        <v>0</v>
      </c>
      <c r="I92" s="201">
        <f>COUNTIFS(CAMPS18!$AK$2:$AK$166,I$1,CAMPS18!$AQ$2:$AQ$166,$E92)</f>
        <v>0</v>
      </c>
      <c r="J92" s="208">
        <f>COUNTIFS(CAMPS18!$AK$2:$AK$166,J$1,CAMPS18!$AQ$2:$AQ$166,$E92)</f>
        <v>0</v>
      </c>
      <c r="K92" s="201">
        <f>COUNTIFS(CAMPS18!$AK$2:$AK$166,K$1,CAMPS18!$AQ$2:$AQ$166,$E92)</f>
        <v>0</v>
      </c>
      <c r="L92" s="201">
        <f>COUNTIFS(CAMPS18!$AK$2:$AK$166,L$1,CAMPS18!$AQ$2:$AQ$166,$E92)</f>
        <v>0</v>
      </c>
      <c r="M92" s="201">
        <f>COUNTIFS(CAMPS18!$AK$2:$AK$166,M$1,CAMPS18!$AQ$2:$AQ$166,$E92)</f>
        <v>0</v>
      </c>
      <c r="N92" s="201">
        <f>COUNTIFS(CAMPS18!$AK$2:$AK$166,N$1,CAMPS18!$AQ$2:$AQ$166,$E92)</f>
        <v>0</v>
      </c>
      <c r="O92" s="201">
        <f>COUNTIFS(CAMPS18!$AK$2:$AK$166,O$1,CAMPS18!$AQ$2:$AQ$166,$E92)</f>
        <v>0</v>
      </c>
      <c r="P92" s="201">
        <f>COUNTIFS(CAMPS18!$AK$2:$AK$166,P$1,CAMPS18!$AQ$2:$AQ$166,$E92)</f>
        <v>0</v>
      </c>
      <c r="Q92" s="201">
        <f>COUNTIFS(CAMPS18!$AK$2:$AK$166,Q$1,CAMPS18!$AQ$2:$AQ$166,$E92)</f>
        <v>0</v>
      </c>
      <c r="R92" s="201">
        <f>COUNTIFS(CAMPS18!$AK$2:$AK$166,R$1,CAMPS18!$AQ$2:$AQ$166,$E92)</f>
        <v>0</v>
      </c>
    </row>
    <row r="93" spans="5:18" x14ac:dyDescent="0.35">
      <c r="E93" s="208">
        <f t="shared" si="3"/>
        <v>92</v>
      </c>
      <c r="F93" s="208">
        <f t="shared" si="2"/>
        <v>0</v>
      </c>
      <c r="G93" s="201">
        <f>COUNTIFS(CAMPS18!$AK$2:$AK$166,G$1,CAMPS18!$AQ$2:$AQ$166,$E93)</f>
        <v>0</v>
      </c>
      <c r="H93" s="201">
        <f>COUNTIFS(CAMPS18!$AK$2:$AK$166,H$1,CAMPS18!$AQ$2:$AQ$166,$E93)</f>
        <v>0</v>
      </c>
      <c r="I93" s="201">
        <f>COUNTIFS(CAMPS18!$AK$2:$AK$166,I$1,CAMPS18!$AQ$2:$AQ$166,$E93)</f>
        <v>0</v>
      </c>
      <c r="J93" s="208">
        <f>COUNTIFS(CAMPS18!$AK$2:$AK$166,J$1,CAMPS18!$AQ$2:$AQ$166,$E93)</f>
        <v>0</v>
      </c>
      <c r="K93" s="201">
        <f>COUNTIFS(CAMPS18!$AK$2:$AK$166,K$1,CAMPS18!$AQ$2:$AQ$166,$E93)</f>
        <v>0</v>
      </c>
      <c r="L93" s="201">
        <f>COUNTIFS(CAMPS18!$AK$2:$AK$166,L$1,CAMPS18!$AQ$2:$AQ$166,$E93)</f>
        <v>0</v>
      </c>
      <c r="M93" s="201">
        <f>COUNTIFS(CAMPS18!$AK$2:$AK$166,M$1,CAMPS18!$AQ$2:$AQ$166,$E93)</f>
        <v>0</v>
      </c>
      <c r="N93" s="201">
        <f>COUNTIFS(CAMPS18!$AK$2:$AK$166,N$1,CAMPS18!$AQ$2:$AQ$166,$E93)</f>
        <v>0</v>
      </c>
      <c r="O93" s="201">
        <f>COUNTIFS(CAMPS18!$AK$2:$AK$166,O$1,CAMPS18!$AQ$2:$AQ$166,$E93)</f>
        <v>0</v>
      </c>
      <c r="P93" s="201">
        <f>COUNTIFS(CAMPS18!$AK$2:$AK$166,P$1,CAMPS18!$AQ$2:$AQ$166,$E93)</f>
        <v>0</v>
      </c>
      <c r="Q93" s="201">
        <f>COUNTIFS(CAMPS18!$AK$2:$AK$166,Q$1,CAMPS18!$AQ$2:$AQ$166,$E93)</f>
        <v>0</v>
      </c>
      <c r="R93" s="201">
        <f>COUNTIFS(CAMPS18!$AK$2:$AK$166,R$1,CAMPS18!$AQ$2:$AQ$166,$E93)</f>
        <v>0</v>
      </c>
    </row>
    <row r="94" spans="5:18" x14ac:dyDescent="0.35">
      <c r="E94" s="208">
        <f t="shared" si="3"/>
        <v>93</v>
      </c>
      <c r="F94" s="208">
        <f t="shared" si="2"/>
        <v>0</v>
      </c>
      <c r="G94" s="201">
        <f>COUNTIFS(CAMPS18!$AK$2:$AK$166,G$1,CAMPS18!$AQ$2:$AQ$166,$E94)</f>
        <v>0</v>
      </c>
      <c r="H94" s="201">
        <f>COUNTIFS(CAMPS18!$AK$2:$AK$166,H$1,CAMPS18!$AQ$2:$AQ$166,$E94)</f>
        <v>0</v>
      </c>
      <c r="I94" s="201">
        <f>COUNTIFS(CAMPS18!$AK$2:$AK$166,I$1,CAMPS18!$AQ$2:$AQ$166,$E94)</f>
        <v>0</v>
      </c>
      <c r="J94" s="208">
        <f>COUNTIFS(CAMPS18!$AK$2:$AK$166,J$1,CAMPS18!$AQ$2:$AQ$166,$E94)</f>
        <v>0</v>
      </c>
      <c r="K94" s="201">
        <f>COUNTIFS(CAMPS18!$AK$2:$AK$166,K$1,CAMPS18!$AQ$2:$AQ$166,$E94)</f>
        <v>0</v>
      </c>
      <c r="L94" s="201">
        <f>COUNTIFS(CAMPS18!$AK$2:$AK$166,L$1,CAMPS18!$AQ$2:$AQ$166,$E94)</f>
        <v>0</v>
      </c>
      <c r="M94" s="201">
        <f>COUNTIFS(CAMPS18!$AK$2:$AK$166,M$1,CAMPS18!$AQ$2:$AQ$166,$E94)</f>
        <v>0</v>
      </c>
      <c r="N94" s="201">
        <f>COUNTIFS(CAMPS18!$AK$2:$AK$166,N$1,CAMPS18!$AQ$2:$AQ$166,$E94)</f>
        <v>0</v>
      </c>
      <c r="O94" s="201">
        <f>COUNTIFS(CAMPS18!$AK$2:$AK$166,O$1,CAMPS18!$AQ$2:$AQ$166,$E94)</f>
        <v>0</v>
      </c>
      <c r="P94" s="201">
        <f>COUNTIFS(CAMPS18!$AK$2:$AK$166,P$1,CAMPS18!$AQ$2:$AQ$166,$E94)</f>
        <v>0</v>
      </c>
      <c r="Q94" s="201">
        <f>COUNTIFS(CAMPS18!$AK$2:$AK$166,Q$1,CAMPS18!$AQ$2:$AQ$166,$E94)</f>
        <v>0</v>
      </c>
      <c r="R94" s="201">
        <f>COUNTIFS(CAMPS18!$AK$2:$AK$166,R$1,CAMPS18!$AQ$2:$AQ$166,$E94)</f>
        <v>0</v>
      </c>
    </row>
    <row r="95" spans="5:18" x14ac:dyDescent="0.35">
      <c r="E95" s="208">
        <f t="shared" si="3"/>
        <v>94</v>
      </c>
      <c r="F95" s="208">
        <f t="shared" si="2"/>
        <v>0</v>
      </c>
      <c r="G95" s="201">
        <f>COUNTIFS(CAMPS18!$AK$2:$AK$166,G$1,CAMPS18!$AQ$2:$AQ$166,$E95)</f>
        <v>0</v>
      </c>
      <c r="H95" s="201">
        <f>COUNTIFS(CAMPS18!$AK$2:$AK$166,H$1,CAMPS18!$AQ$2:$AQ$166,$E95)</f>
        <v>0</v>
      </c>
      <c r="I95" s="201">
        <f>COUNTIFS(CAMPS18!$AK$2:$AK$166,I$1,CAMPS18!$AQ$2:$AQ$166,$E95)</f>
        <v>0</v>
      </c>
      <c r="J95" s="208">
        <f>COUNTIFS(CAMPS18!$AK$2:$AK$166,J$1,CAMPS18!$AQ$2:$AQ$166,$E95)</f>
        <v>0</v>
      </c>
      <c r="K95" s="201">
        <f>COUNTIFS(CAMPS18!$AK$2:$AK$166,K$1,CAMPS18!$AQ$2:$AQ$166,$E95)</f>
        <v>0</v>
      </c>
      <c r="L95" s="201">
        <f>COUNTIFS(CAMPS18!$AK$2:$AK$166,L$1,CAMPS18!$AQ$2:$AQ$166,$E95)</f>
        <v>0</v>
      </c>
      <c r="M95" s="201">
        <f>COUNTIFS(CAMPS18!$AK$2:$AK$166,M$1,CAMPS18!$AQ$2:$AQ$166,$E95)</f>
        <v>0</v>
      </c>
      <c r="N95" s="201">
        <f>COUNTIFS(CAMPS18!$AK$2:$AK$166,N$1,CAMPS18!$AQ$2:$AQ$166,$E95)</f>
        <v>0</v>
      </c>
      <c r="O95" s="201">
        <f>COUNTIFS(CAMPS18!$AK$2:$AK$166,O$1,CAMPS18!$AQ$2:$AQ$166,$E95)</f>
        <v>0</v>
      </c>
      <c r="P95" s="201">
        <f>COUNTIFS(CAMPS18!$AK$2:$AK$166,P$1,CAMPS18!$AQ$2:$AQ$166,$E95)</f>
        <v>0</v>
      </c>
      <c r="Q95" s="201">
        <f>COUNTIFS(CAMPS18!$AK$2:$AK$166,Q$1,CAMPS18!$AQ$2:$AQ$166,$E95)</f>
        <v>0</v>
      </c>
      <c r="R95" s="201">
        <f>COUNTIFS(CAMPS18!$AK$2:$AK$166,R$1,CAMPS18!$AQ$2:$AQ$166,$E95)</f>
        <v>0</v>
      </c>
    </row>
    <row r="96" spans="5:18" x14ac:dyDescent="0.35">
      <c r="E96" s="208">
        <f t="shared" si="3"/>
        <v>95</v>
      </c>
      <c r="F96" s="208">
        <f t="shared" si="2"/>
        <v>0</v>
      </c>
      <c r="G96" s="201">
        <f>COUNTIFS(CAMPS18!$AK$2:$AK$166,G$1,CAMPS18!$AQ$2:$AQ$166,$E96)</f>
        <v>0</v>
      </c>
      <c r="H96" s="201">
        <f>COUNTIFS(CAMPS18!$AK$2:$AK$166,H$1,CAMPS18!$AQ$2:$AQ$166,$E96)</f>
        <v>0</v>
      </c>
      <c r="I96" s="201">
        <f>COUNTIFS(CAMPS18!$AK$2:$AK$166,I$1,CAMPS18!$AQ$2:$AQ$166,$E96)</f>
        <v>0</v>
      </c>
      <c r="J96" s="208">
        <f>COUNTIFS(CAMPS18!$AK$2:$AK$166,J$1,CAMPS18!$AQ$2:$AQ$166,$E96)</f>
        <v>0</v>
      </c>
      <c r="K96" s="201">
        <f>COUNTIFS(CAMPS18!$AK$2:$AK$166,K$1,CAMPS18!$AQ$2:$AQ$166,$E96)</f>
        <v>0</v>
      </c>
      <c r="L96" s="201">
        <f>COUNTIFS(CAMPS18!$AK$2:$AK$166,L$1,CAMPS18!$AQ$2:$AQ$166,$E96)</f>
        <v>0</v>
      </c>
      <c r="M96" s="201">
        <f>COUNTIFS(CAMPS18!$AK$2:$AK$166,M$1,CAMPS18!$AQ$2:$AQ$166,$E96)</f>
        <v>0</v>
      </c>
      <c r="N96" s="201">
        <f>COUNTIFS(CAMPS18!$AK$2:$AK$166,N$1,CAMPS18!$AQ$2:$AQ$166,$E96)</f>
        <v>0</v>
      </c>
      <c r="O96" s="201">
        <f>COUNTIFS(CAMPS18!$AK$2:$AK$166,O$1,CAMPS18!$AQ$2:$AQ$166,$E96)</f>
        <v>0</v>
      </c>
      <c r="P96" s="201">
        <f>COUNTIFS(CAMPS18!$AK$2:$AK$166,P$1,CAMPS18!$AQ$2:$AQ$166,$E96)</f>
        <v>0</v>
      </c>
      <c r="Q96" s="201">
        <f>COUNTIFS(CAMPS18!$AK$2:$AK$166,Q$1,CAMPS18!$AQ$2:$AQ$166,$E96)</f>
        <v>0</v>
      </c>
      <c r="R96" s="201">
        <f>COUNTIFS(CAMPS18!$AK$2:$AK$166,R$1,CAMPS18!$AQ$2:$AQ$166,$E96)</f>
        <v>0</v>
      </c>
    </row>
    <row r="97" spans="5:18" x14ac:dyDescent="0.35">
      <c r="E97" s="208">
        <f t="shared" si="3"/>
        <v>96</v>
      </c>
      <c r="F97" s="208">
        <f t="shared" si="2"/>
        <v>0</v>
      </c>
      <c r="G97" s="201">
        <f>COUNTIFS(CAMPS18!$AK$2:$AK$166,G$1,CAMPS18!$AQ$2:$AQ$166,$E97)</f>
        <v>0</v>
      </c>
      <c r="H97" s="201">
        <f>COUNTIFS(CAMPS18!$AK$2:$AK$166,H$1,CAMPS18!$AQ$2:$AQ$166,$E97)</f>
        <v>0</v>
      </c>
      <c r="I97" s="201">
        <f>COUNTIFS(CAMPS18!$AK$2:$AK$166,I$1,CAMPS18!$AQ$2:$AQ$166,$E97)</f>
        <v>0</v>
      </c>
      <c r="J97" s="208">
        <f>COUNTIFS(CAMPS18!$AK$2:$AK$166,J$1,CAMPS18!$AQ$2:$AQ$166,$E97)</f>
        <v>0</v>
      </c>
      <c r="K97" s="201">
        <f>COUNTIFS(CAMPS18!$AK$2:$AK$166,K$1,CAMPS18!$AQ$2:$AQ$166,$E97)</f>
        <v>0</v>
      </c>
      <c r="L97" s="201">
        <f>COUNTIFS(CAMPS18!$AK$2:$AK$166,L$1,CAMPS18!$AQ$2:$AQ$166,$E97)</f>
        <v>0</v>
      </c>
      <c r="M97" s="201">
        <f>COUNTIFS(CAMPS18!$AK$2:$AK$166,M$1,CAMPS18!$AQ$2:$AQ$166,$E97)</f>
        <v>0</v>
      </c>
      <c r="N97" s="201">
        <f>COUNTIFS(CAMPS18!$AK$2:$AK$166,N$1,CAMPS18!$AQ$2:$AQ$166,$E97)</f>
        <v>0</v>
      </c>
      <c r="O97" s="201">
        <f>COUNTIFS(CAMPS18!$AK$2:$AK$166,O$1,CAMPS18!$AQ$2:$AQ$166,$E97)</f>
        <v>0</v>
      </c>
      <c r="P97" s="201">
        <f>COUNTIFS(CAMPS18!$AK$2:$AK$166,P$1,CAMPS18!$AQ$2:$AQ$166,$E97)</f>
        <v>0</v>
      </c>
      <c r="Q97" s="201">
        <f>COUNTIFS(CAMPS18!$AK$2:$AK$166,Q$1,CAMPS18!$AQ$2:$AQ$166,$E97)</f>
        <v>0</v>
      </c>
      <c r="R97" s="201">
        <f>COUNTIFS(CAMPS18!$AK$2:$AK$166,R$1,CAMPS18!$AQ$2:$AQ$166,$E97)</f>
        <v>0</v>
      </c>
    </row>
    <row r="98" spans="5:18" x14ac:dyDescent="0.35">
      <c r="E98" s="208">
        <f t="shared" si="3"/>
        <v>97</v>
      </c>
      <c r="F98" s="208">
        <f t="shared" si="2"/>
        <v>0</v>
      </c>
      <c r="G98" s="201">
        <f>COUNTIFS(CAMPS18!$AK$2:$AK$166,G$1,CAMPS18!$AQ$2:$AQ$166,$E98)</f>
        <v>0</v>
      </c>
      <c r="H98" s="201">
        <f>COUNTIFS(CAMPS18!$AK$2:$AK$166,H$1,CAMPS18!$AQ$2:$AQ$166,$E98)</f>
        <v>0</v>
      </c>
      <c r="I98" s="201">
        <f>COUNTIFS(CAMPS18!$AK$2:$AK$166,I$1,CAMPS18!$AQ$2:$AQ$166,$E98)</f>
        <v>0</v>
      </c>
      <c r="J98" s="208">
        <f>COUNTIFS(CAMPS18!$AK$2:$AK$166,J$1,CAMPS18!$AQ$2:$AQ$166,$E98)</f>
        <v>0</v>
      </c>
      <c r="K98" s="201">
        <f>COUNTIFS(CAMPS18!$AK$2:$AK$166,K$1,CAMPS18!$AQ$2:$AQ$166,$E98)</f>
        <v>0</v>
      </c>
      <c r="L98" s="201">
        <f>COUNTIFS(CAMPS18!$AK$2:$AK$166,L$1,CAMPS18!$AQ$2:$AQ$166,$E98)</f>
        <v>0</v>
      </c>
      <c r="M98" s="201">
        <f>COUNTIFS(CAMPS18!$AK$2:$AK$166,M$1,CAMPS18!$AQ$2:$AQ$166,$E98)</f>
        <v>0</v>
      </c>
      <c r="N98" s="201">
        <f>COUNTIFS(CAMPS18!$AK$2:$AK$166,N$1,CAMPS18!$AQ$2:$AQ$166,$E98)</f>
        <v>0</v>
      </c>
      <c r="O98" s="201">
        <f>COUNTIFS(CAMPS18!$AK$2:$AK$166,O$1,CAMPS18!$AQ$2:$AQ$166,$E98)</f>
        <v>0</v>
      </c>
      <c r="P98" s="201">
        <f>COUNTIFS(CAMPS18!$AK$2:$AK$166,P$1,CAMPS18!$AQ$2:$AQ$166,$E98)</f>
        <v>0</v>
      </c>
      <c r="Q98" s="201">
        <f>COUNTIFS(CAMPS18!$AK$2:$AK$166,Q$1,CAMPS18!$AQ$2:$AQ$166,$E98)</f>
        <v>0</v>
      </c>
      <c r="R98" s="201">
        <f>COUNTIFS(CAMPS18!$AK$2:$AK$166,R$1,CAMPS18!$AQ$2:$AQ$166,$E98)</f>
        <v>0</v>
      </c>
    </row>
    <row r="99" spans="5:18" x14ac:dyDescent="0.35">
      <c r="E99" s="208">
        <f t="shared" si="3"/>
        <v>98</v>
      </c>
      <c r="F99" s="208">
        <f t="shared" si="2"/>
        <v>0</v>
      </c>
      <c r="G99" s="201">
        <f>COUNTIFS(CAMPS18!$AK$2:$AK$166,G$1,CAMPS18!$AQ$2:$AQ$166,$E99)</f>
        <v>0</v>
      </c>
      <c r="H99" s="201">
        <f>COUNTIFS(CAMPS18!$AK$2:$AK$166,H$1,CAMPS18!$AQ$2:$AQ$166,$E99)</f>
        <v>0</v>
      </c>
      <c r="I99" s="201">
        <f>COUNTIFS(CAMPS18!$AK$2:$AK$166,I$1,CAMPS18!$AQ$2:$AQ$166,$E99)</f>
        <v>0</v>
      </c>
      <c r="J99" s="208">
        <f>COUNTIFS(CAMPS18!$AK$2:$AK$166,J$1,CAMPS18!$AQ$2:$AQ$166,$E99)</f>
        <v>0</v>
      </c>
      <c r="K99" s="201">
        <f>COUNTIFS(CAMPS18!$AK$2:$AK$166,K$1,CAMPS18!$AQ$2:$AQ$166,$E99)</f>
        <v>0</v>
      </c>
      <c r="L99" s="201">
        <f>COUNTIFS(CAMPS18!$AK$2:$AK$166,L$1,CAMPS18!$AQ$2:$AQ$166,$E99)</f>
        <v>0</v>
      </c>
      <c r="M99" s="201">
        <f>COUNTIFS(CAMPS18!$AK$2:$AK$166,M$1,CAMPS18!$AQ$2:$AQ$166,$E99)</f>
        <v>0</v>
      </c>
      <c r="N99" s="201">
        <f>COUNTIFS(CAMPS18!$AK$2:$AK$166,N$1,CAMPS18!$AQ$2:$AQ$166,$E99)</f>
        <v>0</v>
      </c>
      <c r="O99" s="201">
        <f>COUNTIFS(CAMPS18!$AK$2:$AK$166,O$1,CAMPS18!$AQ$2:$AQ$166,$E99)</f>
        <v>0</v>
      </c>
      <c r="P99" s="201">
        <f>COUNTIFS(CAMPS18!$AK$2:$AK$166,P$1,CAMPS18!$AQ$2:$AQ$166,$E99)</f>
        <v>0</v>
      </c>
      <c r="Q99" s="201">
        <f>COUNTIFS(CAMPS18!$AK$2:$AK$166,Q$1,CAMPS18!$AQ$2:$AQ$166,$E99)</f>
        <v>0</v>
      </c>
      <c r="R99" s="201">
        <f>COUNTIFS(CAMPS18!$AK$2:$AK$166,R$1,CAMPS18!$AQ$2:$AQ$166,$E99)</f>
        <v>0</v>
      </c>
    </row>
    <row r="100" spans="5:18" x14ac:dyDescent="0.35">
      <c r="E100" s="208">
        <f t="shared" si="3"/>
        <v>99</v>
      </c>
      <c r="F100" s="208">
        <f t="shared" si="2"/>
        <v>0</v>
      </c>
      <c r="G100" s="201">
        <f>COUNTIFS(CAMPS18!$AK$2:$AK$166,G$1,CAMPS18!$AQ$2:$AQ$166,$E100)</f>
        <v>0</v>
      </c>
      <c r="H100" s="201">
        <f>COUNTIFS(CAMPS18!$AK$2:$AK$166,H$1,CAMPS18!$AQ$2:$AQ$166,$E100)</f>
        <v>0</v>
      </c>
      <c r="I100" s="201">
        <f>COUNTIFS(CAMPS18!$AK$2:$AK$166,I$1,CAMPS18!$AQ$2:$AQ$166,$E100)</f>
        <v>0</v>
      </c>
      <c r="J100" s="208">
        <f>COUNTIFS(CAMPS18!$AK$2:$AK$166,J$1,CAMPS18!$AQ$2:$AQ$166,$E100)</f>
        <v>0</v>
      </c>
      <c r="K100" s="201">
        <f>COUNTIFS(CAMPS18!$AK$2:$AK$166,K$1,CAMPS18!$AQ$2:$AQ$166,$E100)</f>
        <v>0</v>
      </c>
      <c r="L100" s="201">
        <f>COUNTIFS(CAMPS18!$AK$2:$AK$166,L$1,CAMPS18!$AQ$2:$AQ$166,$E100)</f>
        <v>0</v>
      </c>
      <c r="M100" s="201">
        <f>COUNTIFS(CAMPS18!$AK$2:$AK$166,M$1,CAMPS18!$AQ$2:$AQ$166,$E100)</f>
        <v>0</v>
      </c>
      <c r="N100" s="201">
        <f>COUNTIFS(CAMPS18!$AK$2:$AK$166,N$1,CAMPS18!$AQ$2:$AQ$166,$E100)</f>
        <v>0</v>
      </c>
      <c r="O100" s="201">
        <f>COUNTIFS(CAMPS18!$AK$2:$AK$166,O$1,CAMPS18!$AQ$2:$AQ$166,$E100)</f>
        <v>0</v>
      </c>
      <c r="P100" s="201">
        <f>COUNTIFS(CAMPS18!$AK$2:$AK$166,P$1,CAMPS18!$AQ$2:$AQ$166,$E100)</f>
        <v>0</v>
      </c>
      <c r="Q100" s="201">
        <f>COUNTIFS(CAMPS18!$AK$2:$AK$166,Q$1,CAMPS18!$AQ$2:$AQ$166,$E100)</f>
        <v>0</v>
      </c>
      <c r="R100" s="201">
        <f>COUNTIFS(CAMPS18!$AK$2:$AK$166,R$1,CAMPS18!$AQ$2:$AQ$166,$E100)</f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15BBB-F1B0-4FB9-94F1-D04E425F4E77}">
  <dimension ref="A1:M102"/>
  <sheetViews>
    <sheetView workbookViewId="0">
      <selection activeCell="J8" sqref="J8"/>
    </sheetView>
  </sheetViews>
  <sheetFormatPr baseColWidth="10" defaultRowHeight="14.5" x14ac:dyDescent="0.35"/>
  <cols>
    <col min="1" max="1" width="13.36328125" style="211" customWidth="1"/>
    <col min="2" max="2" width="11.08984375" customWidth="1"/>
    <col min="3" max="3" width="13.1796875" customWidth="1"/>
    <col min="5" max="5" width="13.7265625" customWidth="1"/>
    <col min="7" max="7" width="13.54296875" customWidth="1"/>
  </cols>
  <sheetData>
    <row r="1" spans="1:13" x14ac:dyDescent="0.35">
      <c r="A1" s="211" t="s">
        <v>1208</v>
      </c>
    </row>
    <row r="3" spans="1:13" x14ac:dyDescent="0.35">
      <c r="A3" s="245" t="s">
        <v>896</v>
      </c>
      <c r="B3" t="s">
        <v>1210</v>
      </c>
      <c r="C3" t="s">
        <v>1211</v>
      </c>
      <c r="D3" t="s">
        <v>1212</v>
      </c>
      <c r="E3" t="s">
        <v>1213</v>
      </c>
      <c r="F3" t="s">
        <v>1245</v>
      </c>
      <c r="G3" s="209" t="s">
        <v>1246</v>
      </c>
    </row>
    <row r="4" spans="1:13" x14ac:dyDescent="0.35">
      <c r="A4" s="245">
        <v>1</v>
      </c>
      <c r="B4">
        <f>COUNTIF(BAFA18!F:F,'CARTE 5'!A4)</f>
        <v>0</v>
      </c>
      <c r="C4">
        <f>SUMIF(BAFA18!$F$3:$F$54,'CARTE 5'!A4,BAFA18!$R$3:$R$54)</f>
        <v>0</v>
      </c>
      <c r="D4">
        <f>COUNTIF(BAFD18!$F$3:$F$8,'CARTE 5'!A4)</f>
        <v>0</v>
      </c>
      <c r="E4">
        <f>SUMIF(BAFD18!$F$3:$F$8,'CARTE 5'!A4,BAFD18!$R$3:$R$8)</f>
        <v>0</v>
      </c>
      <c r="F4">
        <f>B4+D4</f>
        <v>0</v>
      </c>
      <c r="G4" s="209">
        <f>C4+E4</f>
        <v>0</v>
      </c>
      <c r="K4" s="245"/>
      <c r="L4" s="208" t="s">
        <v>1210</v>
      </c>
      <c r="M4" s="208" t="s">
        <v>1212</v>
      </c>
    </row>
    <row r="5" spans="1:13" x14ac:dyDescent="0.35">
      <c r="A5" s="245">
        <f>A4+1</f>
        <v>2</v>
      </c>
      <c r="B5">
        <f>COUNTIF(BAFA18!F:F,'CARTE 5'!A5)</f>
        <v>0</v>
      </c>
      <c r="C5">
        <f>SUMIF(BAFA18!$F$3:$F$54,'CARTE 5'!A5,BAFA18!$R$3:$R$54)</f>
        <v>0</v>
      </c>
      <c r="D5">
        <f>COUNTIF(BAFD18!$F$3:$F$8,'CARTE 5'!A5)</f>
        <v>0</v>
      </c>
      <c r="E5">
        <f>SUMIF(BAFD18!$F$3:$F$8,'CARTE 5'!A5,BAFD18!$R$3:$R$8)</f>
        <v>0</v>
      </c>
      <c r="F5">
        <f t="shared" ref="F5:F68" si="0">B5+D5</f>
        <v>0</v>
      </c>
      <c r="G5" s="209">
        <f t="shared" ref="G5:G68" si="1">C5+E5</f>
        <v>0</v>
      </c>
      <c r="K5" s="245" t="s">
        <v>905</v>
      </c>
      <c r="L5" s="208">
        <f>COUNTIF(BAFA18!$G$3:$G$54,'CARTE 5'!K5)</f>
        <v>0</v>
      </c>
      <c r="M5" s="208">
        <f>COUNTIF(BAFD18!$G$3:$G$8,'CARTE 5'!K5)</f>
        <v>0</v>
      </c>
    </row>
    <row r="6" spans="1:13" x14ac:dyDescent="0.35">
      <c r="A6" s="245">
        <f t="shared" ref="A6:A69" si="2">A5+1</f>
        <v>3</v>
      </c>
      <c r="B6">
        <f>COUNTIF(BAFA18!F:F,'CARTE 5'!A6)</f>
        <v>0</v>
      </c>
      <c r="C6">
        <f>SUMIF(BAFA18!$F$3:$F$54,'CARTE 5'!A6,BAFA18!$R$3:$R$54)</f>
        <v>0</v>
      </c>
      <c r="D6">
        <f>COUNTIF(BAFD18!$F$3:$F$8,'CARTE 5'!A6)</f>
        <v>0</v>
      </c>
      <c r="E6">
        <f>SUMIF(BAFD18!$F$3:$F$8,'CARTE 5'!A6,BAFD18!$R$3:$R$8)</f>
        <v>0</v>
      </c>
      <c r="F6">
        <f t="shared" si="0"/>
        <v>0</v>
      </c>
      <c r="G6" s="209">
        <f t="shared" si="1"/>
        <v>0</v>
      </c>
      <c r="K6" s="245" t="s">
        <v>906</v>
      </c>
      <c r="L6" s="208">
        <f>COUNTIF(BAFA18!$G$3:$G$54,'CARTE 5'!K6)</f>
        <v>0</v>
      </c>
      <c r="M6" s="208">
        <f>COUNTIF(BAFD18!$G$3:$G$8,'CARTE 5'!K6)</f>
        <v>0</v>
      </c>
    </row>
    <row r="7" spans="1:13" x14ac:dyDescent="0.35">
      <c r="A7" s="245">
        <f t="shared" si="2"/>
        <v>4</v>
      </c>
      <c r="B7">
        <f>COUNTIF(BAFA18!F:F,'CARTE 5'!A7)</f>
        <v>0</v>
      </c>
      <c r="C7">
        <f>SUMIF(BAFA18!$F$3:$F$54,'CARTE 5'!A7,BAFA18!$R$3:$R$54)</f>
        <v>0</v>
      </c>
      <c r="D7">
        <f>COUNTIF(BAFD18!$F$3:$F$8,'CARTE 5'!A7)</f>
        <v>0</v>
      </c>
      <c r="E7">
        <f>SUMIF(BAFD18!$F$3:$F$8,'CARTE 5'!A7,BAFD18!$R$3:$R$8)</f>
        <v>0</v>
      </c>
      <c r="F7">
        <f t="shared" si="0"/>
        <v>0</v>
      </c>
      <c r="G7" s="209">
        <f t="shared" si="1"/>
        <v>0</v>
      </c>
      <c r="K7" s="245" t="s">
        <v>907</v>
      </c>
      <c r="L7" s="208">
        <f>COUNTIF(BAFA18!$G$3:$G$54,'CARTE 5'!K7)</f>
        <v>0</v>
      </c>
      <c r="M7" s="208">
        <f>COUNTIF(BAFD18!$G$3:$G$8,'CARTE 5'!K7)</f>
        <v>0</v>
      </c>
    </row>
    <row r="8" spans="1:13" x14ac:dyDescent="0.35">
      <c r="A8" s="245">
        <f t="shared" si="2"/>
        <v>5</v>
      </c>
      <c r="B8">
        <f>COUNTIF(BAFA18!F:F,'CARTE 5'!A8)</f>
        <v>0</v>
      </c>
      <c r="C8">
        <f>SUMIF(BAFA18!$F$3:$F$54,'CARTE 5'!A8,BAFA18!$R$3:$R$54)</f>
        <v>0</v>
      </c>
      <c r="D8">
        <f>COUNTIF(BAFD18!$F$3:$F$8,'CARTE 5'!A8)</f>
        <v>0</v>
      </c>
      <c r="E8">
        <f>SUMIF(BAFD18!$F$3:$F$8,'CARTE 5'!A8,BAFD18!$R$3:$R$8)</f>
        <v>0</v>
      </c>
      <c r="F8">
        <f t="shared" si="0"/>
        <v>0</v>
      </c>
      <c r="G8" s="209">
        <f t="shared" si="1"/>
        <v>0</v>
      </c>
      <c r="K8" s="245" t="s">
        <v>903</v>
      </c>
      <c r="L8" s="208">
        <f>COUNTIF(BAFA18!$G$3:$G$54,'CARTE 5'!K8)</f>
        <v>0</v>
      </c>
      <c r="M8" s="208">
        <f>COUNTIF(BAFD18!$G$3:$G$8,'CARTE 5'!K8)</f>
        <v>0</v>
      </c>
    </row>
    <row r="9" spans="1:13" x14ac:dyDescent="0.35">
      <c r="A9" s="245">
        <f t="shared" si="2"/>
        <v>6</v>
      </c>
      <c r="B9">
        <f>COUNTIF(BAFA18!F:F,'CARTE 5'!A9)</f>
        <v>2</v>
      </c>
      <c r="C9">
        <f>SUMIF(BAFA18!$F$3:$F$54,'CARTE 5'!A9,BAFA18!$R$3:$R$54)</f>
        <v>25</v>
      </c>
      <c r="D9">
        <f>COUNTIF(BAFD18!$F$3:$F$8,'CARTE 5'!A9)</f>
        <v>0</v>
      </c>
      <c r="E9">
        <f>SUMIF(BAFD18!$F$3:$F$8,'CARTE 5'!A9,BAFD18!$R$3:$R$8)</f>
        <v>0</v>
      </c>
      <c r="F9">
        <f t="shared" si="0"/>
        <v>2</v>
      </c>
      <c r="G9" s="209">
        <f t="shared" si="1"/>
        <v>25</v>
      </c>
      <c r="K9" s="245" t="s">
        <v>904</v>
      </c>
      <c r="L9" s="208">
        <f>COUNTIF(BAFA18!$G$3:$G$54,'CARTE 5'!K9)</f>
        <v>0</v>
      </c>
      <c r="M9" s="208">
        <f>COUNTIF(BAFD18!$G$3:$G$8,'CARTE 5'!K9)</f>
        <v>0</v>
      </c>
    </row>
    <row r="10" spans="1:13" x14ac:dyDescent="0.35">
      <c r="A10" s="245">
        <f t="shared" si="2"/>
        <v>7</v>
      </c>
      <c r="B10">
        <f>COUNTIF(BAFA18!F:F,'CARTE 5'!A10)</f>
        <v>0</v>
      </c>
      <c r="C10">
        <f>SUMIF(BAFA18!$F$3:$F$54,'CARTE 5'!A10,BAFA18!$R$3:$R$54)</f>
        <v>0</v>
      </c>
      <c r="D10">
        <f>COUNTIF(BAFD18!$F$3:$F$8,'CARTE 5'!A10)</f>
        <v>0</v>
      </c>
      <c r="E10">
        <f>SUMIF(BAFD18!$F$3:$F$8,'CARTE 5'!A10,BAFD18!$R$3:$R$8)</f>
        <v>0</v>
      </c>
      <c r="F10">
        <f t="shared" si="0"/>
        <v>0</v>
      </c>
      <c r="G10" s="209">
        <f t="shared" si="1"/>
        <v>0</v>
      </c>
      <c r="K10" s="245">
        <v>10029</v>
      </c>
      <c r="L10" s="208">
        <f>COUNTIF(BAFA18!$G$3:$G$54,'CARTE 5'!K10)</f>
        <v>0</v>
      </c>
      <c r="M10" s="208">
        <f>COUNTIF(BAFD18!$G$3:$G$8,'CARTE 5'!K10)</f>
        <v>0</v>
      </c>
    </row>
    <row r="11" spans="1:13" x14ac:dyDescent="0.35">
      <c r="A11" s="245">
        <f t="shared" si="2"/>
        <v>8</v>
      </c>
      <c r="B11">
        <f>COUNTIF(BAFA18!F:F,'CARTE 5'!A11)</f>
        <v>0</v>
      </c>
      <c r="C11">
        <f>SUMIF(BAFA18!$F$3:$F$54,'CARTE 5'!A11,BAFA18!$R$3:$R$54)</f>
        <v>0</v>
      </c>
      <c r="D11">
        <f>COUNTIF(BAFD18!$F$3:$F$8,'CARTE 5'!A11)</f>
        <v>0</v>
      </c>
      <c r="E11">
        <f>SUMIF(BAFD18!$F$3:$F$8,'CARTE 5'!A11,BAFD18!$R$3:$R$8)</f>
        <v>0</v>
      </c>
      <c r="F11">
        <f t="shared" si="0"/>
        <v>0</v>
      </c>
      <c r="G11" s="209">
        <f t="shared" si="1"/>
        <v>0</v>
      </c>
      <c r="K11" s="245" t="s">
        <v>902</v>
      </c>
      <c r="L11" s="208">
        <f>COUNTIF(BAFA18!$G$3:$G$54,'CARTE 5'!K11)</f>
        <v>0</v>
      </c>
      <c r="M11" s="208">
        <f>COUNTIF(BAFD18!$G$3:$G$8,'CARTE 5'!K11)</f>
        <v>2</v>
      </c>
    </row>
    <row r="12" spans="1:13" x14ac:dyDescent="0.35">
      <c r="A12" s="245">
        <f t="shared" si="2"/>
        <v>9</v>
      </c>
      <c r="B12">
        <f>COUNTIF(BAFA18!F:F,'CARTE 5'!A12)</f>
        <v>0</v>
      </c>
      <c r="C12">
        <f>SUMIF(BAFA18!$F$3:$F$54,'CARTE 5'!A12,BAFA18!$R$3:$R$54)</f>
        <v>0</v>
      </c>
      <c r="D12">
        <f>COUNTIF(BAFD18!$F$3:$F$8,'CARTE 5'!A12)</f>
        <v>0</v>
      </c>
      <c r="E12">
        <f>SUMIF(BAFD18!$F$3:$F$8,'CARTE 5'!A12,BAFD18!$R$3:$R$8)</f>
        <v>0</v>
      </c>
      <c r="F12">
        <f t="shared" si="0"/>
        <v>0</v>
      </c>
      <c r="G12" s="209">
        <f t="shared" si="1"/>
        <v>0</v>
      </c>
      <c r="K12" s="245">
        <v>13001</v>
      </c>
      <c r="L12" s="208">
        <f>COUNTIF(BAFA18!$G$3:$G$54,'CARTE 5'!K12)</f>
        <v>1</v>
      </c>
      <c r="M12" s="208">
        <f>COUNTIF(BAFD18!$G$3:$G$8,'CARTE 5'!K12)</f>
        <v>0</v>
      </c>
    </row>
    <row r="13" spans="1:13" x14ac:dyDescent="0.35">
      <c r="A13" s="245">
        <f t="shared" si="2"/>
        <v>10</v>
      </c>
      <c r="B13">
        <f>COUNTIF(BAFA18!F:F,'CARTE 5'!A13)</f>
        <v>0</v>
      </c>
      <c r="C13">
        <f>SUMIF(BAFA18!$F$3:$F$54,'CARTE 5'!A13,BAFA18!$R$3:$R$54)</f>
        <v>0</v>
      </c>
      <c r="D13">
        <f>COUNTIF(BAFD18!$F$3:$F$8,'CARTE 5'!A13)</f>
        <v>0</v>
      </c>
      <c r="E13">
        <f>SUMIF(BAFD18!$F$3:$F$8,'CARTE 5'!A13,BAFD18!$R$3:$R$8)</f>
        <v>0</v>
      </c>
      <c r="F13">
        <f t="shared" si="0"/>
        <v>0</v>
      </c>
      <c r="G13" s="209">
        <f t="shared" si="1"/>
        <v>0</v>
      </c>
      <c r="K13" s="245">
        <v>17140</v>
      </c>
      <c r="L13" s="208">
        <f>COUNTIF(BAFA18!$G$3:$G$54,'CARTE 5'!K13)</f>
        <v>0</v>
      </c>
      <c r="M13" s="208">
        <f>COUNTIF(BAFD18!$G$3:$G$8,'CARTE 5'!K13)</f>
        <v>0</v>
      </c>
    </row>
    <row r="14" spans="1:13" x14ac:dyDescent="0.35">
      <c r="A14" s="245">
        <f t="shared" si="2"/>
        <v>11</v>
      </c>
      <c r="B14">
        <f>COUNTIF(BAFA18!F:F,'CARTE 5'!A14)</f>
        <v>1</v>
      </c>
      <c r="C14">
        <f>SUMIF(BAFA18!$F$3:$F$54,'CARTE 5'!A14,BAFA18!$R$3:$R$54)</f>
        <v>15</v>
      </c>
      <c r="D14">
        <f>COUNTIF(BAFD18!$F$3:$F$8,'CARTE 5'!A14)</f>
        <v>0</v>
      </c>
      <c r="E14">
        <f>SUMIF(BAFD18!$F$3:$F$8,'CARTE 5'!A14,BAFD18!$R$3:$R$8)</f>
        <v>0</v>
      </c>
      <c r="F14">
        <f t="shared" si="0"/>
        <v>1</v>
      </c>
      <c r="G14" s="209">
        <f t="shared" si="1"/>
        <v>15</v>
      </c>
      <c r="K14" s="245">
        <v>21017</v>
      </c>
      <c r="L14" s="208">
        <f>COUNTIF(BAFA18!$G$3:$G$54,'CARTE 5'!K14)</f>
        <v>0</v>
      </c>
      <c r="M14" s="208">
        <f>COUNTIF(BAFD18!$G$3:$G$8,'CARTE 5'!K14)</f>
        <v>0</v>
      </c>
    </row>
    <row r="15" spans="1:13" x14ac:dyDescent="0.35">
      <c r="A15" s="245">
        <f t="shared" si="2"/>
        <v>12</v>
      </c>
      <c r="B15">
        <f>COUNTIF(BAFA18!F:F,'CARTE 5'!A15)</f>
        <v>0</v>
      </c>
      <c r="C15">
        <f>SUMIF(BAFA18!$F$3:$F$54,'CARTE 5'!A15,BAFA18!$R$3:$R$54)</f>
        <v>0</v>
      </c>
      <c r="D15">
        <f>COUNTIF(BAFD18!$F$3:$F$8,'CARTE 5'!A15)</f>
        <v>2</v>
      </c>
      <c r="E15">
        <f>SUMIF(BAFD18!$F$3:$F$8,'CARTE 5'!A15,BAFD18!$R$3:$R$8)</f>
        <v>25</v>
      </c>
      <c r="F15">
        <f t="shared" si="0"/>
        <v>2</v>
      </c>
      <c r="G15" s="209">
        <f t="shared" si="1"/>
        <v>25</v>
      </c>
      <c r="K15" s="245">
        <v>24183</v>
      </c>
      <c r="L15" s="208">
        <f>COUNTIF(BAFA18!$G$3:$G$54,'CARTE 5'!K15)</f>
        <v>1</v>
      </c>
      <c r="M15" s="208">
        <f>COUNTIF(BAFD18!$G$3:$G$8,'CARTE 5'!K15)</f>
        <v>0</v>
      </c>
    </row>
    <row r="16" spans="1:13" x14ac:dyDescent="0.35">
      <c r="A16" s="245">
        <f t="shared" si="2"/>
        <v>13</v>
      </c>
      <c r="B16">
        <f>COUNTIF(BAFA18!F:F,'CARTE 5'!A16)</f>
        <v>1</v>
      </c>
      <c r="C16">
        <f>SUMIF(BAFA18!$F$3:$F$54,'CARTE 5'!A16,BAFA18!$R$3:$R$54)</f>
        <v>10</v>
      </c>
      <c r="D16">
        <f>COUNTIF(BAFD18!$F$3:$F$8,'CARTE 5'!A16)</f>
        <v>0</v>
      </c>
      <c r="E16">
        <f>SUMIF(BAFD18!$F$3:$F$8,'CARTE 5'!A16,BAFD18!$R$3:$R$8)</f>
        <v>0</v>
      </c>
      <c r="F16">
        <f t="shared" si="0"/>
        <v>1</v>
      </c>
      <c r="G16" s="209">
        <f t="shared" si="1"/>
        <v>10</v>
      </c>
      <c r="K16" s="245" t="s">
        <v>918</v>
      </c>
      <c r="L16" s="208">
        <f>COUNTIF(BAFA18!$G$3:$G$54,'CARTE 5'!K16)</f>
        <v>0</v>
      </c>
      <c r="M16" s="208">
        <f>COUNTIF(BAFD18!$G$3:$G$8,'CARTE 5'!K16)</f>
        <v>0</v>
      </c>
    </row>
    <row r="17" spans="1:13" x14ac:dyDescent="0.35">
      <c r="A17" s="245">
        <f t="shared" si="2"/>
        <v>14</v>
      </c>
      <c r="B17">
        <f>COUNTIF(BAFA18!F:F,'CARTE 5'!A17)</f>
        <v>0</v>
      </c>
      <c r="C17">
        <f>SUMIF(BAFA18!$F$3:$F$54,'CARTE 5'!A17,BAFA18!$R$3:$R$54)</f>
        <v>0</v>
      </c>
      <c r="D17">
        <f>COUNTIF(BAFD18!$F$3:$F$8,'CARTE 5'!A17)</f>
        <v>0</v>
      </c>
      <c r="E17">
        <f>SUMIF(BAFD18!$F$3:$F$8,'CARTE 5'!A17,BAFD18!$R$3:$R$8)</f>
        <v>0</v>
      </c>
      <c r="F17">
        <f t="shared" si="0"/>
        <v>0</v>
      </c>
      <c r="G17" s="209">
        <f t="shared" si="1"/>
        <v>0</v>
      </c>
      <c r="K17" s="245">
        <v>35334</v>
      </c>
      <c r="L17" s="208">
        <f>COUNTIF(BAFA18!$G$3:$G$54,'CARTE 5'!K17)</f>
        <v>1</v>
      </c>
      <c r="M17" s="208">
        <f>COUNTIF(BAFD18!$G$3:$G$8,'CARTE 5'!K17)</f>
        <v>1</v>
      </c>
    </row>
    <row r="18" spans="1:13" x14ac:dyDescent="0.35">
      <c r="A18" s="245">
        <f t="shared" si="2"/>
        <v>15</v>
      </c>
      <c r="B18">
        <f>COUNTIF(BAFA18!F:F,'CARTE 5'!A18)</f>
        <v>1</v>
      </c>
      <c r="C18">
        <f>SUMIF(BAFA18!$F$3:$F$54,'CARTE 5'!A18,BAFA18!$R$3:$R$54)</f>
        <v>11</v>
      </c>
      <c r="D18">
        <f>COUNTIF(BAFD18!$F$3:$F$8,'CARTE 5'!A18)</f>
        <v>0</v>
      </c>
      <c r="E18">
        <f>SUMIF(BAFD18!$F$3:$F$8,'CARTE 5'!A18,BAFD18!$R$3:$R$8)</f>
        <v>0</v>
      </c>
      <c r="F18">
        <f t="shared" si="0"/>
        <v>1</v>
      </c>
      <c r="G18" s="209">
        <f t="shared" si="1"/>
        <v>11</v>
      </c>
      <c r="K18" s="245">
        <v>37132</v>
      </c>
      <c r="L18" s="208">
        <f>COUNTIF(BAFA18!$G$3:$G$54,'CARTE 5'!K18)</f>
        <v>0</v>
      </c>
      <c r="M18" s="208">
        <f>COUNTIF(BAFD18!$G$3:$G$8,'CARTE 5'!K18)</f>
        <v>0</v>
      </c>
    </row>
    <row r="19" spans="1:13" x14ac:dyDescent="0.35">
      <c r="A19" s="245">
        <f t="shared" si="2"/>
        <v>16</v>
      </c>
      <c r="B19">
        <f>COUNTIF(BAFA18!F:F,'CARTE 5'!A19)</f>
        <v>0</v>
      </c>
      <c r="C19">
        <f>SUMIF(BAFA18!$F$3:$F$54,'CARTE 5'!A19,BAFA18!$R$3:$R$54)</f>
        <v>0</v>
      </c>
      <c r="D19">
        <f>COUNTIF(BAFD18!$F$3:$F$8,'CARTE 5'!A19)</f>
        <v>0</v>
      </c>
      <c r="E19">
        <f>SUMIF(BAFD18!$F$3:$F$8,'CARTE 5'!A19,BAFD18!$R$3:$R$8)</f>
        <v>0</v>
      </c>
      <c r="F19">
        <f t="shared" si="0"/>
        <v>0</v>
      </c>
      <c r="G19" s="209">
        <f t="shared" si="1"/>
        <v>0</v>
      </c>
      <c r="K19" s="245">
        <v>42039</v>
      </c>
      <c r="L19" s="208">
        <f>COUNTIF(BAFA18!$G$3:$G$54,'CARTE 5'!K19)</f>
        <v>0</v>
      </c>
      <c r="M19" s="208">
        <f>COUNTIF(BAFD18!$G$3:$G$8,'CARTE 5'!K19)</f>
        <v>0</v>
      </c>
    </row>
    <row r="20" spans="1:13" x14ac:dyDescent="0.35">
      <c r="A20" s="245">
        <f t="shared" si="2"/>
        <v>17</v>
      </c>
      <c r="B20">
        <f>COUNTIF(BAFA18!F:F,'CARTE 5'!A20)</f>
        <v>0</v>
      </c>
      <c r="C20">
        <f>SUMIF(BAFA18!$F$3:$F$54,'CARTE 5'!A20,BAFA18!$R$3:$R$54)</f>
        <v>0</v>
      </c>
      <c r="D20">
        <f>COUNTIF(BAFD18!$F$3:$F$8,'CARTE 5'!A20)</f>
        <v>0</v>
      </c>
      <c r="E20">
        <f>SUMIF(BAFD18!$F$3:$F$8,'CARTE 5'!A20,BAFD18!$R$3:$R$8)</f>
        <v>0</v>
      </c>
      <c r="F20">
        <f t="shared" si="0"/>
        <v>0</v>
      </c>
      <c r="G20" s="209">
        <f t="shared" si="1"/>
        <v>0</v>
      </c>
      <c r="K20" s="245">
        <v>42292</v>
      </c>
      <c r="L20" s="208">
        <f>COUNTIF(BAFA18!$G$3:$G$54,'CARTE 5'!K20)</f>
        <v>0</v>
      </c>
      <c r="M20" s="208">
        <f>COUNTIF(BAFD18!$G$3:$G$8,'CARTE 5'!K20)</f>
        <v>0</v>
      </c>
    </row>
    <row r="21" spans="1:13" x14ac:dyDescent="0.35">
      <c r="A21" s="245">
        <f t="shared" si="2"/>
        <v>18</v>
      </c>
      <c r="B21">
        <f>COUNTIF(BAFA18!F:F,'CARTE 5'!A21)</f>
        <v>0</v>
      </c>
      <c r="C21">
        <f>SUMIF(BAFA18!$F$3:$F$54,'CARTE 5'!A21,BAFA18!$R$3:$R$54)</f>
        <v>0</v>
      </c>
      <c r="D21">
        <f>COUNTIF(BAFD18!$F$3:$F$8,'CARTE 5'!A21)</f>
        <v>0</v>
      </c>
      <c r="E21">
        <f>SUMIF(BAFD18!$F$3:$F$8,'CARTE 5'!A21,BAFD18!$R$3:$R$8)</f>
        <v>0</v>
      </c>
      <c r="F21">
        <f t="shared" si="0"/>
        <v>0</v>
      </c>
      <c r="G21" s="209">
        <f t="shared" si="1"/>
        <v>0</v>
      </c>
      <c r="K21" s="245">
        <v>48132</v>
      </c>
      <c r="L21" s="208">
        <f>COUNTIF(BAFA18!$G$3:$G$54,'CARTE 5'!K21)</f>
        <v>0</v>
      </c>
      <c r="M21" s="208">
        <f>COUNTIF(BAFD18!$G$3:$G$8,'CARTE 5'!K21)</f>
        <v>0</v>
      </c>
    </row>
    <row r="22" spans="1:13" x14ac:dyDescent="0.35">
      <c r="A22" s="245">
        <f t="shared" si="2"/>
        <v>19</v>
      </c>
      <c r="B22">
        <f>COUNTIF(BAFA18!F:F,'CARTE 5'!A22)</f>
        <v>0</v>
      </c>
      <c r="C22">
        <f>SUMIF(BAFA18!$F$3:$F$54,'CARTE 5'!A22,BAFA18!$R$3:$R$54)</f>
        <v>0</v>
      </c>
      <c r="D22">
        <f>COUNTIF(BAFD18!$F$3:$F$8,'CARTE 5'!A22)</f>
        <v>0</v>
      </c>
      <c r="E22">
        <f>SUMIF(BAFD18!$F$3:$F$8,'CARTE 5'!A22,BAFD18!$R$3:$R$8)</f>
        <v>0</v>
      </c>
      <c r="F22">
        <f t="shared" si="0"/>
        <v>0</v>
      </c>
      <c r="G22" s="209">
        <f t="shared" si="1"/>
        <v>0</v>
      </c>
      <c r="K22" s="245">
        <v>56162</v>
      </c>
      <c r="L22" s="208">
        <f>COUNTIF(BAFA18!$G$3:$G$54,'CARTE 5'!K22)</f>
        <v>1</v>
      </c>
      <c r="M22" s="208">
        <f>COUNTIF(BAFD18!$G$3:$G$8,'CARTE 5'!K22)</f>
        <v>0</v>
      </c>
    </row>
    <row r="23" spans="1:13" x14ac:dyDescent="0.35">
      <c r="A23" s="245">
        <f t="shared" si="2"/>
        <v>20</v>
      </c>
      <c r="B23">
        <f>COUNTIF(BAFA18!F:F,'CARTE 5'!A23)</f>
        <v>0</v>
      </c>
      <c r="C23">
        <f>SUMIF(BAFA18!$F$3:$F$54,'CARTE 5'!A23,BAFA18!$R$3:$R$54)</f>
        <v>0</v>
      </c>
      <c r="D23">
        <f>COUNTIF(BAFD18!$F$3:$F$8,'CARTE 5'!A23)</f>
        <v>0</v>
      </c>
      <c r="E23">
        <f>SUMIF(BAFD18!$F$3:$F$8,'CARTE 5'!A23,BAFD18!$R$3:$R$8)</f>
        <v>0</v>
      </c>
      <c r="F23">
        <f t="shared" si="0"/>
        <v>0</v>
      </c>
      <c r="G23" s="209">
        <f t="shared" si="1"/>
        <v>0</v>
      </c>
      <c r="K23" s="245" t="s">
        <v>909</v>
      </c>
      <c r="L23" s="208">
        <f>COUNTIF(BAFA18!$G$3:$G$54,'CARTE 5'!K23)</f>
        <v>0</v>
      </c>
      <c r="M23" s="208">
        <f>COUNTIF(BAFD18!$G$3:$G$8,'CARTE 5'!K23)</f>
        <v>0</v>
      </c>
    </row>
    <row r="24" spans="1:13" x14ac:dyDescent="0.35">
      <c r="A24" s="245">
        <f t="shared" si="2"/>
        <v>21</v>
      </c>
      <c r="B24">
        <f>COUNTIF(BAFA18!F:F,'CARTE 5'!A24)</f>
        <v>0</v>
      </c>
      <c r="C24">
        <f>SUMIF(BAFA18!$F$3:$F$54,'CARTE 5'!A24,BAFA18!$R$3:$R$54)</f>
        <v>0</v>
      </c>
      <c r="D24">
        <f>COUNTIF(BAFD18!$F$3:$F$8,'CARTE 5'!A24)</f>
        <v>0</v>
      </c>
      <c r="E24">
        <f>SUMIF(BAFD18!$F$3:$F$8,'CARTE 5'!A24,BAFD18!$R$3:$R$8)</f>
        <v>0</v>
      </c>
      <c r="F24">
        <f t="shared" si="0"/>
        <v>0</v>
      </c>
      <c r="G24" s="209">
        <f t="shared" si="1"/>
        <v>0</v>
      </c>
      <c r="K24" s="245">
        <v>65078</v>
      </c>
      <c r="L24" s="208">
        <f>COUNTIF(BAFA18!$G$3:$G$54,'CARTE 5'!K24)</f>
        <v>0</v>
      </c>
      <c r="M24" s="208">
        <f>COUNTIF(BAFD18!$G$3:$G$8,'CARTE 5'!K24)</f>
        <v>0</v>
      </c>
    </row>
    <row r="25" spans="1:13" x14ac:dyDescent="0.35">
      <c r="A25" s="245">
        <f t="shared" si="2"/>
        <v>22</v>
      </c>
      <c r="B25">
        <f>COUNTIF(BAFA18!F:F,'CARTE 5'!A25)</f>
        <v>0</v>
      </c>
      <c r="C25">
        <f>SUMIF(BAFA18!$F$3:$F$54,'CARTE 5'!A25,BAFA18!$R$3:$R$54)</f>
        <v>0</v>
      </c>
      <c r="D25">
        <f>COUNTIF(BAFD18!$F$3:$F$8,'CARTE 5'!A25)</f>
        <v>0</v>
      </c>
      <c r="E25">
        <f>SUMIF(BAFD18!$F$3:$F$8,'CARTE 5'!A25,BAFD18!$R$3:$R$8)</f>
        <v>0</v>
      </c>
      <c r="F25">
        <f t="shared" si="0"/>
        <v>0</v>
      </c>
      <c r="G25" s="209">
        <f t="shared" si="1"/>
        <v>0</v>
      </c>
      <c r="K25" s="245">
        <v>67191</v>
      </c>
      <c r="L25" s="208">
        <f>COUNTIF(BAFA18!$G$3:$G$54,'CARTE 5'!K25)</f>
        <v>0</v>
      </c>
      <c r="M25" s="208">
        <f>COUNTIF(BAFD18!$G$3:$G$8,'CARTE 5'!K25)</f>
        <v>0</v>
      </c>
    </row>
    <row r="26" spans="1:13" x14ac:dyDescent="0.35">
      <c r="A26" s="245">
        <f t="shared" si="2"/>
        <v>23</v>
      </c>
      <c r="B26">
        <f>COUNTIF(BAFA18!F:F,'CARTE 5'!A26)</f>
        <v>0</v>
      </c>
      <c r="C26">
        <f>SUMIF(BAFA18!$F$3:$F$54,'CARTE 5'!A26,BAFA18!$R$3:$R$54)</f>
        <v>0</v>
      </c>
      <c r="D26">
        <f>COUNTIF(BAFD18!$F$3:$F$8,'CARTE 5'!A26)</f>
        <v>0</v>
      </c>
      <c r="E26">
        <f>SUMIF(BAFD18!$F$3:$F$8,'CARTE 5'!A26,BAFD18!$R$3:$R$8)</f>
        <v>0</v>
      </c>
      <c r="F26">
        <f t="shared" si="0"/>
        <v>0</v>
      </c>
      <c r="G26" s="209">
        <f t="shared" si="1"/>
        <v>0</v>
      </c>
      <c r="K26" s="245">
        <v>69164</v>
      </c>
      <c r="L26" s="208">
        <f>COUNTIF(BAFA18!$G$3:$G$54,'CARTE 5'!K26)</f>
        <v>1</v>
      </c>
      <c r="M26" s="208">
        <f>COUNTIF(BAFD18!$G$3:$G$8,'CARTE 5'!K26)</f>
        <v>1</v>
      </c>
    </row>
    <row r="27" spans="1:13" x14ac:dyDescent="0.35">
      <c r="A27" s="245">
        <f t="shared" si="2"/>
        <v>24</v>
      </c>
      <c r="B27">
        <f>COUNTIF(BAFA18!F:F,'CARTE 5'!A27)</f>
        <v>1</v>
      </c>
      <c r="C27">
        <f>SUMIF(BAFA18!$F$3:$F$54,'CARTE 5'!A27,BAFA18!$R$3:$R$54)</f>
        <v>5</v>
      </c>
      <c r="D27">
        <f>COUNTIF(BAFD18!$F$3:$F$8,'CARTE 5'!A27)</f>
        <v>0</v>
      </c>
      <c r="E27">
        <f>SUMIF(BAFD18!$F$3:$F$8,'CARTE 5'!A27,BAFD18!$R$3:$R$8)</f>
        <v>0</v>
      </c>
      <c r="F27">
        <f t="shared" si="0"/>
        <v>1</v>
      </c>
      <c r="G27" s="209">
        <f t="shared" si="1"/>
        <v>5</v>
      </c>
      <c r="K27" s="245">
        <v>81201</v>
      </c>
      <c r="L27" s="208">
        <f>COUNTIF(BAFA18!$G$3:$G$54,'CARTE 5'!K27)</f>
        <v>1</v>
      </c>
      <c r="M27" s="208">
        <f>COUNTIF(BAFD18!$G$3:$G$8,'CARTE 5'!K27)</f>
        <v>0</v>
      </c>
    </row>
    <row r="28" spans="1:13" x14ac:dyDescent="0.35">
      <c r="A28" s="245">
        <f t="shared" si="2"/>
        <v>25</v>
      </c>
      <c r="B28">
        <f>COUNTIF(BAFA18!F:F,'CARTE 5'!A28)</f>
        <v>0</v>
      </c>
      <c r="C28">
        <f>SUMIF(BAFA18!$F$3:$F$54,'CARTE 5'!A28,BAFA18!$R$3:$R$54)</f>
        <v>0</v>
      </c>
      <c r="D28">
        <f>COUNTIF(BAFD18!$F$3:$F$8,'CARTE 5'!A28)</f>
        <v>0</v>
      </c>
      <c r="E28">
        <f>SUMIF(BAFD18!$F$3:$F$8,'CARTE 5'!A28,BAFD18!$R$3:$R$8)</f>
        <v>0</v>
      </c>
      <c r="F28">
        <f t="shared" si="0"/>
        <v>0</v>
      </c>
      <c r="G28" s="209">
        <f t="shared" si="1"/>
        <v>0</v>
      </c>
      <c r="K28" s="245">
        <v>84110</v>
      </c>
      <c r="L28" s="208">
        <f>COUNTIF(BAFA18!$G$3:$G$54,'CARTE 5'!K28)</f>
        <v>0</v>
      </c>
      <c r="M28" s="208">
        <f>COUNTIF(BAFD18!$G$3:$G$8,'CARTE 5'!K28)</f>
        <v>0</v>
      </c>
    </row>
    <row r="29" spans="1:13" x14ac:dyDescent="0.35">
      <c r="A29" s="245">
        <f t="shared" si="2"/>
        <v>26</v>
      </c>
      <c r="B29">
        <f>COUNTIF(BAFA18!F:F,'CARTE 5'!A29)</f>
        <v>0</v>
      </c>
      <c r="C29">
        <f>SUMIF(BAFA18!$F$3:$F$54,'CARTE 5'!A29,BAFA18!$R$3:$R$54)</f>
        <v>0</v>
      </c>
      <c r="D29">
        <f>COUNTIF(BAFD18!$F$3:$F$8,'CARTE 5'!A29)</f>
        <v>0</v>
      </c>
      <c r="E29">
        <f>SUMIF(BAFD18!$F$3:$F$8,'CARTE 5'!A29,BAFD18!$R$3:$R$8)</f>
        <v>0</v>
      </c>
      <c r="F29">
        <f t="shared" si="0"/>
        <v>0</v>
      </c>
      <c r="G29" s="209">
        <f t="shared" si="1"/>
        <v>0</v>
      </c>
      <c r="K29" s="245" t="s">
        <v>908</v>
      </c>
      <c r="L29" s="208">
        <f>COUNTIF(BAFA18!$G$3:$G$54,'CARTE 5'!K29)</f>
        <v>0</v>
      </c>
      <c r="M29" s="208">
        <f>COUNTIF(BAFD18!$G$3:$G$8,'CARTE 5'!K29)</f>
        <v>0</v>
      </c>
    </row>
    <row r="30" spans="1:13" x14ac:dyDescent="0.35">
      <c r="A30" s="245">
        <f t="shared" si="2"/>
        <v>27</v>
      </c>
      <c r="B30">
        <f>COUNTIF(BAFA18!F:F,'CARTE 5'!A30)</f>
        <v>0</v>
      </c>
      <c r="C30">
        <f>SUMIF(BAFA18!$F$3:$F$54,'CARTE 5'!A30,BAFA18!$R$3:$R$54)</f>
        <v>0</v>
      </c>
      <c r="D30">
        <f>COUNTIF(BAFD18!$F$3:$F$8,'CARTE 5'!A30)</f>
        <v>0</v>
      </c>
      <c r="E30">
        <f>SUMIF(BAFD18!$F$3:$F$8,'CARTE 5'!A30,BAFD18!$R$3:$R$8)</f>
        <v>0</v>
      </c>
      <c r="F30">
        <f t="shared" si="0"/>
        <v>0</v>
      </c>
      <c r="G30" s="209">
        <f t="shared" si="1"/>
        <v>0</v>
      </c>
      <c r="K30" s="245">
        <v>86024</v>
      </c>
      <c r="L30" s="208">
        <f>COUNTIF(BAFA18!$G$3:$G$54,'CARTE 5'!K30)</f>
        <v>1</v>
      </c>
      <c r="M30" s="208">
        <f>COUNTIF(BAFD18!$G$3:$G$8,'CARTE 5'!K30)</f>
        <v>0</v>
      </c>
    </row>
    <row r="31" spans="1:13" x14ac:dyDescent="0.35">
      <c r="A31" s="245">
        <f t="shared" si="2"/>
        <v>28</v>
      </c>
      <c r="B31">
        <f>COUNTIF(BAFA18!F:F,'CARTE 5'!A31)</f>
        <v>0</v>
      </c>
      <c r="C31">
        <f>SUMIF(BAFA18!$F$3:$F$54,'CARTE 5'!A31,BAFA18!$R$3:$R$54)</f>
        <v>0</v>
      </c>
      <c r="D31">
        <f>COUNTIF(BAFD18!$F$3:$F$8,'CARTE 5'!A31)</f>
        <v>0</v>
      </c>
      <c r="E31">
        <f>SUMIF(BAFD18!$F$3:$F$8,'CARTE 5'!A31,BAFD18!$R$3:$R$8)</f>
        <v>0</v>
      </c>
      <c r="F31">
        <f t="shared" si="0"/>
        <v>0</v>
      </c>
      <c r="G31" s="209">
        <f t="shared" si="1"/>
        <v>0</v>
      </c>
      <c r="K31" s="245">
        <v>86203</v>
      </c>
      <c r="L31" s="208">
        <f>COUNTIF(BAFA18!$G$3:$G$54,'CARTE 5'!K31)</f>
        <v>0</v>
      </c>
      <c r="M31" s="208">
        <f>COUNTIF(BAFD18!$G$3:$G$8,'CARTE 5'!K31)</f>
        <v>0</v>
      </c>
    </row>
    <row r="32" spans="1:13" x14ac:dyDescent="0.35">
      <c r="A32" s="245">
        <f t="shared" si="2"/>
        <v>29</v>
      </c>
      <c r="B32">
        <f>COUNTIF(BAFA18!F:F,'CARTE 5'!A32)</f>
        <v>0</v>
      </c>
      <c r="C32">
        <f>SUMIF(BAFA18!$F$3:$F$54,'CARTE 5'!A32,BAFA18!$R$3:$R$54)</f>
        <v>0</v>
      </c>
      <c r="D32">
        <f>COUNTIF(BAFD18!$F$3:$F$8,'CARTE 5'!A32)</f>
        <v>0</v>
      </c>
      <c r="E32">
        <f>SUMIF(BAFD18!$F$3:$F$8,'CARTE 5'!A32,BAFD18!$R$3:$R$8)</f>
        <v>0</v>
      </c>
      <c r="F32">
        <f t="shared" si="0"/>
        <v>0</v>
      </c>
      <c r="G32" s="209">
        <f t="shared" si="1"/>
        <v>0</v>
      </c>
    </row>
    <row r="33" spans="1:7" x14ac:dyDescent="0.35">
      <c r="A33" s="245">
        <f t="shared" si="2"/>
        <v>30</v>
      </c>
      <c r="B33">
        <f>COUNTIF(BAFA18!F:F,'CARTE 5'!A33)</f>
        <v>0</v>
      </c>
      <c r="C33">
        <f>SUMIF(BAFA18!$F$3:$F$54,'CARTE 5'!A33,BAFA18!$R$3:$R$54)</f>
        <v>0</v>
      </c>
      <c r="D33">
        <f>COUNTIF(BAFD18!$F$3:$F$8,'CARTE 5'!A33)</f>
        <v>0</v>
      </c>
      <c r="E33">
        <f>SUMIF(BAFD18!$F$3:$F$8,'CARTE 5'!A33,BAFD18!$R$3:$R$8)</f>
        <v>0</v>
      </c>
      <c r="F33">
        <f t="shared" si="0"/>
        <v>0</v>
      </c>
      <c r="G33" s="209">
        <f t="shared" si="1"/>
        <v>0</v>
      </c>
    </row>
    <row r="34" spans="1:7" x14ac:dyDescent="0.35">
      <c r="A34" s="245">
        <f t="shared" si="2"/>
        <v>31</v>
      </c>
      <c r="B34">
        <f>COUNTIF(BAFA18!F:F,'CARTE 5'!A34)</f>
        <v>2</v>
      </c>
      <c r="C34">
        <f>SUMIF(BAFA18!$F$3:$F$54,'CARTE 5'!A34,BAFA18!$R$3:$R$54)</f>
        <v>26</v>
      </c>
      <c r="D34">
        <f>COUNTIF(BAFD18!$F$3:$F$8,'CARTE 5'!A34)</f>
        <v>0</v>
      </c>
      <c r="E34">
        <f>SUMIF(BAFD18!$F$3:$F$8,'CARTE 5'!A34,BAFD18!$R$3:$R$8)</f>
        <v>0</v>
      </c>
      <c r="F34">
        <f t="shared" si="0"/>
        <v>2</v>
      </c>
      <c r="G34" s="209">
        <f t="shared" si="1"/>
        <v>26</v>
      </c>
    </row>
    <row r="35" spans="1:7" x14ac:dyDescent="0.35">
      <c r="A35" s="245">
        <f t="shared" si="2"/>
        <v>32</v>
      </c>
      <c r="B35">
        <f>COUNTIF(BAFA18!F:F,'CARTE 5'!A35)</f>
        <v>2</v>
      </c>
      <c r="C35">
        <f>SUMIF(BAFA18!$F$3:$F$54,'CARTE 5'!A35,BAFA18!$R$3:$R$54)</f>
        <v>38</v>
      </c>
      <c r="D35">
        <f>COUNTIF(BAFD18!$F$3:$F$8,'CARTE 5'!A35)</f>
        <v>0</v>
      </c>
      <c r="E35">
        <f>SUMIF(BAFD18!$F$3:$F$8,'CARTE 5'!A35,BAFD18!$R$3:$R$8)</f>
        <v>0</v>
      </c>
      <c r="F35">
        <f t="shared" si="0"/>
        <v>2</v>
      </c>
      <c r="G35" s="209">
        <f t="shared" si="1"/>
        <v>38</v>
      </c>
    </row>
    <row r="36" spans="1:7" x14ac:dyDescent="0.35">
      <c r="A36" s="245">
        <f t="shared" si="2"/>
        <v>33</v>
      </c>
      <c r="B36">
        <f>COUNTIF(BAFA18!F:F,'CARTE 5'!A36)</f>
        <v>1</v>
      </c>
      <c r="C36">
        <f>SUMIF(BAFA18!$F$3:$F$54,'CARTE 5'!A36,BAFA18!$R$3:$R$54)</f>
        <v>12</v>
      </c>
      <c r="D36">
        <f>COUNTIF(BAFD18!$F$3:$F$8,'CARTE 5'!A36)</f>
        <v>0</v>
      </c>
      <c r="E36">
        <f>SUMIF(BAFD18!$F$3:$F$8,'CARTE 5'!A36,BAFD18!$R$3:$R$8)</f>
        <v>0</v>
      </c>
      <c r="F36">
        <f t="shared" si="0"/>
        <v>1</v>
      </c>
      <c r="G36" s="209">
        <f t="shared" si="1"/>
        <v>12</v>
      </c>
    </row>
    <row r="37" spans="1:7" x14ac:dyDescent="0.35">
      <c r="A37" s="245">
        <f t="shared" si="2"/>
        <v>34</v>
      </c>
      <c r="B37">
        <f>COUNTIF(BAFA18!F:F,'CARTE 5'!A37)</f>
        <v>6</v>
      </c>
      <c r="C37">
        <f>SUMIF(BAFA18!$F$3:$F$54,'CARTE 5'!A37,BAFA18!$R$3:$R$54)</f>
        <v>76</v>
      </c>
      <c r="D37">
        <f>COUNTIF(BAFD18!$F$3:$F$8,'CARTE 5'!A37)</f>
        <v>0</v>
      </c>
      <c r="E37">
        <f>SUMIF(BAFD18!$F$3:$F$8,'CARTE 5'!A37,BAFD18!$R$3:$R$8)</f>
        <v>0</v>
      </c>
      <c r="F37">
        <f t="shared" si="0"/>
        <v>6</v>
      </c>
      <c r="G37" s="209">
        <f t="shared" si="1"/>
        <v>76</v>
      </c>
    </row>
    <row r="38" spans="1:7" x14ac:dyDescent="0.35">
      <c r="A38" s="245">
        <f t="shared" si="2"/>
        <v>35</v>
      </c>
      <c r="B38">
        <f>COUNTIF(BAFA18!F:F,'CARTE 5'!A38)</f>
        <v>1</v>
      </c>
      <c r="C38">
        <f>SUMIF(BAFA18!$F$3:$F$54,'CARTE 5'!A38,BAFA18!$R$3:$R$54)</f>
        <v>20</v>
      </c>
      <c r="D38">
        <f>COUNTIF(BAFD18!$F$3:$F$8,'CARTE 5'!A38)</f>
        <v>1</v>
      </c>
      <c r="E38">
        <f>SUMIF(BAFD18!$F$3:$F$8,'CARTE 5'!A38,BAFD18!$R$3:$R$8)</f>
        <v>13</v>
      </c>
      <c r="F38">
        <f t="shared" si="0"/>
        <v>2</v>
      </c>
      <c r="G38" s="209">
        <f t="shared" si="1"/>
        <v>33</v>
      </c>
    </row>
    <row r="39" spans="1:7" x14ac:dyDescent="0.35">
      <c r="A39" s="245">
        <f t="shared" si="2"/>
        <v>36</v>
      </c>
      <c r="B39">
        <f>COUNTIF(BAFA18!F:F,'CARTE 5'!A39)</f>
        <v>0</v>
      </c>
      <c r="C39">
        <f>SUMIF(BAFA18!$F$3:$F$54,'CARTE 5'!A39,BAFA18!$R$3:$R$54)</f>
        <v>0</v>
      </c>
      <c r="D39">
        <f>COUNTIF(BAFD18!$F$3:$F$8,'CARTE 5'!A39)</f>
        <v>0</v>
      </c>
      <c r="E39">
        <f>SUMIF(BAFD18!$F$3:$F$8,'CARTE 5'!A39,BAFD18!$R$3:$R$8)</f>
        <v>0</v>
      </c>
      <c r="F39">
        <f t="shared" si="0"/>
        <v>0</v>
      </c>
      <c r="G39" s="209">
        <f t="shared" si="1"/>
        <v>0</v>
      </c>
    </row>
    <row r="40" spans="1:7" x14ac:dyDescent="0.35">
      <c r="A40" s="245">
        <f t="shared" si="2"/>
        <v>37</v>
      </c>
      <c r="B40">
        <f>COUNTIF(BAFA18!F:F,'CARTE 5'!A40)</f>
        <v>0</v>
      </c>
      <c r="C40">
        <f>SUMIF(BAFA18!$F$3:$F$54,'CARTE 5'!A40,BAFA18!$R$3:$R$54)</f>
        <v>0</v>
      </c>
      <c r="D40">
        <f>COUNTIF(BAFD18!$F$3:$F$8,'CARTE 5'!A40)</f>
        <v>0</v>
      </c>
      <c r="E40">
        <f>SUMIF(BAFD18!$F$3:$F$8,'CARTE 5'!A40,BAFD18!$R$3:$R$8)</f>
        <v>0</v>
      </c>
      <c r="F40">
        <f t="shared" si="0"/>
        <v>0</v>
      </c>
      <c r="G40" s="209">
        <f t="shared" si="1"/>
        <v>0</v>
      </c>
    </row>
    <row r="41" spans="1:7" x14ac:dyDescent="0.35">
      <c r="A41" s="245">
        <f t="shared" si="2"/>
        <v>38</v>
      </c>
      <c r="B41">
        <f>COUNTIF(BAFA18!F:F,'CARTE 5'!A41)</f>
        <v>0</v>
      </c>
      <c r="C41">
        <f>SUMIF(BAFA18!$F$3:$F$54,'CARTE 5'!A41,BAFA18!$R$3:$R$54)</f>
        <v>0</v>
      </c>
      <c r="D41">
        <f>COUNTIF(BAFD18!$F$3:$F$8,'CARTE 5'!A41)</f>
        <v>0</v>
      </c>
      <c r="E41">
        <f>SUMIF(BAFD18!$F$3:$F$8,'CARTE 5'!A41,BAFD18!$R$3:$R$8)</f>
        <v>0</v>
      </c>
      <c r="F41">
        <f t="shared" si="0"/>
        <v>0</v>
      </c>
      <c r="G41" s="209">
        <f t="shared" si="1"/>
        <v>0</v>
      </c>
    </row>
    <row r="42" spans="1:7" x14ac:dyDescent="0.35">
      <c r="A42" s="245">
        <f t="shared" si="2"/>
        <v>39</v>
      </c>
      <c r="B42">
        <f>COUNTIF(BAFA18!F:F,'CARTE 5'!A42)</f>
        <v>0</v>
      </c>
      <c r="C42">
        <f>SUMIF(BAFA18!$F$3:$F$54,'CARTE 5'!A42,BAFA18!$R$3:$R$54)</f>
        <v>0</v>
      </c>
      <c r="D42">
        <f>COUNTIF(BAFD18!$F$3:$F$8,'CARTE 5'!A42)</f>
        <v>0</v>
      </c>
      <c r="E42">
        <f>SUMIF(BAFD18!$F$3:$F$8,'CARTE 5'!A42,BAFD18!$R$3:$R$8)</f>
        <v>0</v>
      </c>
      <c r="F42">
        <f t="shared" si="0"/>
        <v>0</v>
      </c>
      <c r="G42" s="209">
        <f t="shared" si="1"/>
        <v>0</v>
      </c>
    </row>
    <row r="43" spans="1:7" x14ac:dyDescent="0.35">
      <c r="A43" s="245">
        <f t="shared" si="2"/>
        <v>40</v>
      </c>
      <c r="B43">
        <f>COUNTIF(BAFA18!F:F,'CARTE 5'!A43)</f>
        <v>0</v>
      </c>
      <c r="C43">
        <f>SUMIF(BAFA18!$F$3:$F$54,'CARTE 5'!A43,BAFA18!$R$3:$R$54)</f>
        <v>0</v>
      </c>
      <c r="D43">
        <f>COUNTIF(BAFD18!$F$3:$F$8,'CARTE 5'!A43)</f>
        <v>0</v>
      </c>
      <c r="E43">
        <f>SUMIF(BAFD18!$F$3:$F$8,'CARTE 5'!A43,BAFD18!$R$3:$R$8)</f>
        <v>0</v>
      </c>
      <c r="F43">
        <f t="shared" si="0"/>
        <v>0</v>
      </c>
      <c r="G43" s="209">
        <f t="shared" si="1"/>
        <v>0</v>
      </c>
    </row>
    <row r="44" spans="1:7" x14ac:dyDescent="0.35">
      <c r="A44" s="245">
        <f t="shared" si="2"/>
        <v>41</v>
      </c>
      <c r="B44">
        <f>COUNTIF(BAFA18!F:F,'CARTE 5'!A44)</f>
        <v>0</v>
      </c>
      <c r="C44">
        <f>SUMIF(BAFA18!$F$3:$F$54,'CARTE 5'!A44,BAFA18!$R$3:$R$54)</f>
        <v>0</v>
      </c>
      <c r="D44">
        <f>COUNTIF(BAFD18!$F$3:$F$8,'CARTE 5'!A44)</f>
        <v>0</v>
      </c>
      <c r="E44">
        <f>SUMIF(BAFD18!$F$3:$F$8,'CARTE 5'!A44,BAFD18!$R$3:$R$8)</f>
        <v>0</v>
      </c>
      <c r="F44">
        <f t="shared" si="0"/>
        <v>0</v>
      </c>
      <c r="G44" s="209">
        <f t="shared" si="1"/>
        <v>0</v>
      </c>
    </row>
    <row r="45" spans="1:7" x14ac:dyDescent="0.35">
      <c r="A45" s="245">
        <f t="shared" si="2"/>
        <v>42</v>
      </c>
      <c r="B45">
        <f>COUNTIF(BAFA18!F:F,'CARTE 5'!A45)</f>
        <v>0</v>
      </c>
      <c r="C45">
        <f>SUMIF(BAFA18!$F$3:$F$54,'CARTE 5'!A45,BAFA18!$R$3:$R$54)</f>
        <v>0</v>
      </c>
      <c r="D45">
        <f>COUNTIF(BAFD18!$F$3:$F$8,'CARTE 5'!A45)</f>
        <v>0</v>
      </c>
      <c r="E45">
        <f>SUMIF(BAFD18!$F$3:$F$8,'CARTE 5'!A45,BAFD18!$R$3:$R$8)</f>
        <v>0</v>
      </c>
      <c r="F45">
        <f t="shared" si="0"/>
        <v>0</v>
      </c>
      <c r="G45" s="209">
        <f t="shared" si="1"/>
        <v>0</v>
      </c>
    </row>
    <row r="46" spans="1:7" x14ac:dyDescent="0.35">
      <c r="A46" s="245">
        <f t="shared" si="2"/>
        <v>43</v>
      </c>
      <c r="B46">
        <f>COUNTIF(BAFA18!F:F,'CARTE 5'!A46)</f>
        <v>0</v>
      </c>
      <c r="C46">
        <f>SUMIF(BAFA18!$F$3:$F$54,'CARTE 5'!A46,BAFA18!$R$3:$R$54)</f>
        <v>0</v>
      </c>
      <c r="D46">
        <f>COUNTIF(BAFD18!$F$3:$F$8,'CARTE 5'!A46)</f>
        <v>0</v>
      </c>
      <c r="E46">
        <f>SUMIF(BAFD18!$F$3:$F$8,'CARTE 5'!A46,BAFD18!$R$3:$R$8)</f>
        <v>0</v>
      </c>
      <c r="F46">
        <f t="shared" si="0"/>
        <v>0</v>
      </c>
      <c r="G46" s="209">
        <f t="shared" si="1"/>
        <v>0</v>
      </c>
    </row>
    <row r="47" spans="1:7" x14ac:dyDescent="0.35">
      <c r="A47" s="245">
        <f t="shared" si="2"/>
        <v>44</v>
      </c>
      <c r="B47">
        <f>COUNTIF(BAFA18!F:F,'CARTE 5'!A47)</f>
        <v>0</v>
      </c>
      <c r="C47">
        <f>SUMIF(BAFA18!$F$3:$F$54,'CARTE 5'!A47,BAFA18!$R$3:$R$54)</f>
        <v>0</v>
      </c>
      <c r="D47">
        <f>COUNTIF(BAFD18!$F$3:$F$8,'CARTE 5'!A47)</f>
        <v>0</v>
      </c>
      <c r="E47">
        <f>SUMIF(BAFD18!$F$3:$F$8,'CARTE 5'!A47,BAFD18!$R$3:$R$8)</f>
        <v>0</v>
      </c>
      <c r="F47">
        <f t="shared" si="0"/>
        <v>0</v>
      </c>
      <c r="G47" s="209">
        <f t="shared" si="1"/>
        <v>0</v>
      </c>
    </row>
    <row r="48" spans="1:7" x14ac:dyDescent="0.35">
      <c r="A48" s="245">
        <f t="shared" si="2"/>
        <v>45</v>
      </c>
      <c r="B48">
        <f>COUNTIF(BAFA18!F:F,'CARTE 5'!A48)</f>
        <v>0</v>
      </c>
      <c r="C48">
        <f>SUMIF(BAFA18!$F$3:$F$54,'CARTE 5'!A48,BAFA18!$R$3:$R$54)</f>
        <v>0</v>
      </c>
      <c r="D48">
        <f>COUNTIF(BAFD18!$F$3:$F$8,'CARTE 5'!A48)</f>
        <v>0</v>
      </c>
      <c r="E48">
        <f>SUMIF(BAFD18!$F$3:$F$8,'CARTE 5'!A48,BAFD18!$R$3:$R$8)</f>
        <v>0</v>
      </c>
      <c r="F48">
        <f t="shared" si="0"/>
        <v>0</v>
      </c>
      <c r="G48" s="209">
        <f t="shared" si="1"/>
        <v>0</v>
      </c>
    </row>
    <row r="49" spans="1:7" x14ac:dyDescent="0.35">
      <c r="A49" s="245">
        <f t="shared" si="2"/>
        <v>46</v>
      </c>
      <c r="B49">
        <f>COUNTIF(BAFA18!F:F,'CARTE 5'!A49)</f>
        <v>0</v>
      </c>
      <c r="C49">
        <f>SUMIF(BAFA18!$F$3:$F$54,'CARTE 5'!A49,BAFA18!$R$3:$R$54)</f>
        <v>0</v>
      </c>
      <c r="D49">
        <f>COUNTIF(BAFD18!$F$3:$F$8,'CARTE 5'!A49)</f>
        <v>0</v>
      </c>
      <c r="E49">
        <f>SUMIF(BAFD18!$F$3:$F$8,'CARTE 5'!A49,BAFD18!$R$3:$R$8)</f>
        <v>0</v>
      </c>
      <c r="F49">
        <f t="shared" si="0"/>
        <v>0</v>
      </c>
      <c r="G49" s="209">
        <f t="shared" si="1"/>
        <v>0</v>
      </c>
    </row>
    <row r="50" spans="1:7" x14ac:dyDescent="0.35">
      <c r="A50" s="245">
        <f t="shared" si="2"/>
        <v>47</v>
      </c>
      <c r="B50">
        <f>COUNTIF(BAFA18!F:F,'CARTE 5'!A50)</f>
        <v>0</v>
      </c>
      <c r="C50">
        <f>SUMIF(BAFA18!$F$3:$F$54,'CARTE 5'!A50,BAFA18!$R$3:$R$54)</f>
        <v>0</v>
      </c>
      <c r="D50">
        <f>COUNTIF(BAFD18!$F$3:$F$8,'CARTE 5'!A50)</f>
        <v>0</v>
      </c>
      <c r="E50">
        <f>SUMIF(BAFD18!$F$3:$F$8,'CARTE 5'!A50,BAFD18!$R$3:$R$8)</f>
        <v>0</v>
      </c>
      <c r="F50">
        <f t="shared" si="0"/>
        <v>0</v>
      </c>
      <c r="G50" s="209">
        <f t="shared" si="1"/>
        <v>0</v>
      </c>
    </row>
    <row r="51" spans="1:7" x14ac:dyDescent="0.35">
      <c r="A51" s="245">
        <f t="shared" si="2"/>
        <v>48</v>
      </c>
      <c r="B51">
        <f>COUNTIF(BAFA18!F:F,'CARTE 5'!A51)</f>
        <v>0</v>
      </c>
      <c r="C51">
        <f>SUMIF(BAFA18!$F$3:$F$54,'CARTE 5'!A51,BAFA18!$R$3:$R$54)</f>
        <v>0</v>
      </c>
      <c r="D51">
        <f>COUNTIF(BAFD18!$F$3:$F$8,'CARTE 5'!A51)</f>
        <v>0</v>
      </c>
      <c r="E51">
        <f>SUMIF(BAFD18!$F$3:$F$8,'CARTE 5'!A51,BAFD18!$R$3:$R$8)</f>
        <v>0</v>
      </c>
      <c r="F51">
        <f t="shared" si="0"/>
        <v>0</v>
      </c>
      <c r="G51" s="209">
        <f t="shared" si="1"/>
        <v>0</v>
      </c>
    </row>
    <row r="52" spans="1:7" x14ac:dyDescent="0.35">
      <c r="A52" s="245">
        <f t="shared" si="2"/>
        <v>49</v>
      </c>
      <c r="B52">
        <f>COUNTIF(BAFA18!F:F,'CARTE 5'!A52)</f>
        <v>0</v>
      </c>
      <c r="C52">
        <f>SUMIF(BAFA18!$F$3:$F$54,'CARTE 5'!A52,BAFA18!$R$3:$R$54)</f>
        <v>0</v>
      </c>
      <c r="D52">
        <f>COUNTIF(BAFD18!$F$3:$F$8,'CARTE 5'!A52)</f>
        <v>0</v>
      </c>
      <c r="E52">
        <f>SUMIF(BAFD18!$F$3:$F$8,'CARTE 5'!A52,BAFD18!$R$3:$R$8)</f>
        <v>0</v>
      </c>
      <c r="F52">
        <f t="shared" si="0"/>
        <v>0</v>
      </c>
      <c r="G52" s="209">
        <f t="shared" si="1"/>
        <v>0</v>
      </c>
    </row>
    <row r="53" spans="1:7" x14ac:dyDescent="0.35">
      <c r="A53" s="245">
        <f t="shared" si="2"/>
        <v>50</v>
      </c>
      <c r="B53">
        <f>COUNTIF(BAFA18!F:F,'CARTE 5'!A53)</f>
        <v>0</v>
      </c>
      <c r="C53">
        <f>SUMIF(BAFA18!$F$3:$F$54,'CARTE 5'!A53,BAFA18!$R$3:$R$54)</f>
        <v>0</v>
      </c>
      <c r="D53">
        <f>COUNTIF(BAFD18!$F$3:$F$8,'CARTE 5'!A53)</f>
        <v>0</v>
      </c>
      <c r="E53">
        <f>SUMIF(BAFD18!$F$3:$F$8,'CARTE 5'!A53,BAFD18!$R$3:$R$8)</f>
        <v>0</v>
      </c>
      <c r="F53">
        <f t="shared" si="0"/>
        <v>0</v>
      </c>
      <c r="G53" s="209">
        <f t="shared" si="1"/>
        <v>0</v>
      </c>
    </row>
    <row r="54" spans="1:7" x14ac:dyDescent="0.35">
      <c r="A54" s="245">
        <f t="shared" si="2"/>
        <v>51</v>
      </c>
      <c r="B54">
        <f>COUNTIF(BAFA18!F:F,'CARTE 5'!A54)</f>
        <v>0</v>
      </c>
      <c r="C54">
        <f>SUMIF(BAFA18!$F$3:$F$54,'CARTE 5'!A54,BAFA18!$R$3:$R$54)</f>
        <v>0</v>
      </c>
      <c r="D54">
        <f>COUNTIF(BAFD18!$F$3:$F$8,'CARTE 5'!A54)</f>
        <v>0</v>
      </c>
      <c r="E54">
        <f>SUMIF(BAFD18!$F$3:$F$8,'CARTE 5'!A54,BAFD18!$R$3:$R$8)</f>
        <v>0</v>
      </c>
      <c r="F54">
        <f t="shared" si="0"/>
        <v>0</v>
      </c>
      <c r="G54" s="209">
        <f t="shared" si="1"/>
        <v>0</v>
      </c>
    </row>
    <row r="55" spans="1:7" x14ac:dyDescent="0.35">
      <c r="A55" s="245">
        <f t="shared" si="2"/>
        <v>52</v>
      </c>
      <c r="B55">
        <f>COUNTIF(BAFA18!F:F,'CARTE 5'!A55)</f>
        <v>1</v>
      </c>
      <c r="C55">
        <f>SUMIF(BAFA18!$F$3:$F$54,'CARTE 5'!A55,BAFA18!$R$3:$R$54)</f>
        <v>12</v>
      </c>
      <c r="D55">
        <f>COUNTIF(BAFD18!$F$3:$F$8,'CARTE 5'!A55)</f>
        <v>0</v>
      </c>
      <c r="E55">
        <f>SUMIF(BAFD18!$F$3:$F$8,'CARTE 5'!A55,BAFD18!$R$3:$R$8)</f>
        <v>0</v>
      </c>
      <c r="F55">
        <f t="shared" si="0"/>
        <v>1</v>
      </c>
      <c r="G55" s="209">
        <f t="shared" si="1"/>
        <v>12</v>
      </c>
    </row>
    <row r="56" spans="1:7" x14ac:dyDescent="0.35">
      <c r="A56" s="245">
        <f t="shared" si="2"/>
        <v>53</v>
      </c>
      <c r="B56">
        <f>COUNTIF(BAFA18!F:F,'CARTE 5'!A56)</f>
        <v>0</v>
      </c>
      <c r="C56">
        <f>SUMIF(BAFA18!$F$3:$F$54,'CARTE 5'!A56,BAFA18!$R$3:$R$54)</f>
        <v>0</v>
      </c>
      <c r="D56">
        <f>COUNTIF(BAFD18!$F$3:$F$8,'CARTE 5'!A56)</f>
        <v>0</v>
      </c>
      <c r="E56">
        <f>SUMIF(BAFD18!$F$3:$F$8,'CARTE 5'!A56,BAFD18!$R$3:$R$8)</f>
        <v>0</v>
      </c>
      <c r="F56">
        <f t="shared" si="0"/>
        <v>0</v>
      </c>
      <c r="G56" s="209">
        <f t="shared" si="1"/>
        <v>0</v>
      </c>
    </row>
    <row r="57" spans="1:7" x14ac:dyDescent="0.35">
      <c r="A57" s="245">
        <f t="shared" si="2"/>
        <v>54</v>
      </c>
      <c r="B57">
        <f>COUNTIF(BAFA18!F:F,'CARTE 5'!A57)</f>
        <v>0</v>
      </c>
      <c r="C57">
        <f>SUMIF(BAFA18!$F$3:$F$54,'CARTE 5'!A57,BAFA18!$R$3:$R$54)</f>
        <v>0</v>
      </c>
      <c r="D57">
        <f>COUNTIF(BAFD18!$F$3:$F$8,'CARTE 5'!A57)</f>
        <v>0</v>
      </c>
      <c r="E57">
        <f>SUMIF(BAFD18!$F$3:$F$8,'CARTE 5'!A57,BAFD18!$R$3:$R$8)</f>
        <v>0</v>
      </c>
      <c r="F57">
        <f t="shared" si="0"/>
        <v>0</v>
      </c>
      <c r="G57" s="209">
        <f t="shared" si="1"/>
        <v>0</v>
      </c>
    </row>
    <row r="58" spans="1:7" x14ac:dyDescent="0.35">
      <c r="A58" s="245">
        <f t="shared" si="2"/>
        <v>55</v>
      </c>
      <c r="B58">
        <f>COUNTIF(BAFA18!F:F,'CARTE 5'!A58)</f>
        <v>0</v>
      </c>
      <c r="C58">
        <f>SUMIF(BAFA18!$F$3:$F$54,'CARTE 5'!A58,BAFA18!$R$3:$R$54)</f>
        <v>0</v>
      </c>
      <c r="D58">
        <f>COUNTIF(BAFD18!$F$3:$F$8,'CARTE 5'!A58)</f>
        <v>0</v>
      </c>
      <c r="E58">
        <f>SUMIF(BAFD18!$F$3:$F$8,'CARTE 5'!A58,BAFD18!$R$3:$R$8)</f>
        <v>0</v>
      </c>
      <c r="F58">
        <f t="shared" si="0"/>
        <v>0</v>
      </c>
      <c r="G58" s="209">
        <f t="shared" si="1"/>
        <v>0</v>
      </c>
    </row>
    <row r="59" spans="1:7" x14ac:dyDescent="0.35">
      <c r="A59" s="245">
        <f t="shared" si="2"/>
        <v>56</v>
      </c>
      <c r="B59">
        <f>COUNTIF(BAFA18!F:F,'CARTE 5'!A59)</f>
        <v>1</v>
      </c>
      <c r="C59">
        <f>SUMIF(BAFA18!$F$3:$F$54,'CARTE 5'!A59,BAFA18!$R$3:$R$54)</f>
        <v>12</v>
      </c>
      <c r="D59">
        <f>COUNTIF(BAFD18!$F$3:$F$8,'CARTE 5'!A59)</f>
        <v>0</v>
      </c>
      <c r="E59">
        <f>SUMIF(BAFD18!$F$3:$F$8,'CARTE 5'!A59,BAFD18!$R$3:$R$8)</f>
        <v>0</v>
      </c>
      <c r="F59">
        <f t="shared" si="0"/>
        <v>1</v>
      </c>
      <c r="G59" s="209">
        <f t="shared" si="1"/>
        <v>12</v>
      </c>
    </row>
    <row r="60" spans="1:7" x14ac:dyDescent="0.35">
      <c r="A60" s="245">
        <f t="shared" si="2"/>
        <v>57</v>
      </c>
      <c r="B60">
        <f>COUNTIF(BAFA18!F:F,'CARTE 5'!A60)</f>
        <v>0</v>
      </c>
      <c r="C60">
        <f>SUMIF(BAFA18!$F$3:$F$54,'CARTE 5'!A60,BAFA18!$R$3:$R$54)</f>
        <v>0</v>
      </c>
      <c r="D60">
        <f>COUNTIF(BAFD18!$F$3:$F$8,'CARTE 5'!A60)</f>
        <v>0</v>
      </c>
      <c r="E60">
        <f>SUMIF(BAFD18!$F$3:$F$8,'CARTE 5'!A60,BAFD18!$R$3:$R$8)</f>
        <v>0</v>
      </c>
      <c r="F60">
        <f t="shared" si="0"/>
        <v>0</v>
      </c>
      <c r="G60" s="209">
        <f t="shared" si="1"/>
        <v>0</v>
      </c>
    </row>
    <row r="61" spans="1:7" x14ac:dyDescent="0.35">
      <c r="A61" s="245">
        <f t="shared" si="2"/>
        <v>58</v>
      </c>
      <c r="B61">
        <f>COUNTIF(BAFA18!F:F,'CARTE 5'!A61)</f>
        <v>0</v>
      </c>
      <c r="C61">
        <f>SUMIF(BAFA18!$F$3:$F$54,'CARTE 5'!A61,BAFA18!$R$3:$R$54)</f>
        <v>0</v>
      </c>
      <c r="D61">
        <f>COUNTIF(BAFD18!$F$3:$F$8,'CARTE 5'!A61)</f>
        <v>0</v>
      </c>
      <c r="E61">
        <f>SUMIF(BAFD18!$F$3:$F$8,'CARTE 5'!A61,BAFD18!$R$3:$R$8)</f>
        <v>0</v>
      </c>
      <c r="F61">
        <f t="shared" si="0"/>
        <v>0</v>
      </c>
      <c r="G61" s="209">
        <f t="shared" si="1"/>
        <v>0</v>
      </c>
    </row>
    <row r="62" spans="1:7" x14ac:dyDescent="0.35">
      <c r="A62" s="245">
        <f t="shared" si="2"/>
        <v>59</v>
      </c>
      <c r="B62">
        <f>COUNTIF(BAFA18!F:F,'CARTE 5'!A62)</f>
        <v>17</v>
      </c>
      <c r="C62">
        <f>SUMIF(BAFA18!$F$3:$F$54,'CARTE 5'!A62,BAFA18!$R$3:$R$54)</f>
        <v>415</v>
      </c>
      <c r="D62">
        <f>COUNTIF(BAFD18!$F$3:$F$8,'CARTE 5'!A62)</f>
        <v>2</v>
      </c>
      <c r="E62">
        <f>SUMIF(BAFD18!$F$3:$F$8,'CARTE 5'!A62,BAFD18!$R$3:$R$8)</f>
        <v>17</v>
      </c>
      <c r="F62">
        <f t="shared" si="0"/>
        <v>19</v>
      </c>
      <c r="G62" s="209">
        <f t="shared" si="1"/>
        <v>432</v>
      </c>
    </row>
    <row r="63" spans="1:7" x14ac:dyDescent="0.35">
      <c r="A63" s="245">
        <f t="shared" si="2"/>
        <v>60</v>
      </c>
      <c r="B63">
        <f>COUNTIF(BAFA18!F:F,'CARTE 5'!A63)</f>
        <v>0</v>
      </c>
      <c r="C63">
        <f>SUMIF(BAFA18!$F$3:$F$54,'CARTE 5'!A63,BAFA18!$R$3:$R$54)</f>
        <v>0</v>
      </c>
      <c r="D63">
        <f>COUNTIF(BAFD18!$F$3:$F$8,'CARTE 5'!A63)</f>
        <v>0</v>
      </c>
      <c r="E63">
        <f>SUMIF(BAFD18!$F$3:$F$8,'CARTE 5'!A63,BAFD18!$R$3:$R$8)</f>
        <v>0</v>
      </c>
      <c r="F63">
        <f t="shared" si="0"/>
        <v>0</v>
      </c>
      <c r="G63" s="209">
        <f t="shared" si="1"/>
        <v>0</v>
      </c>
    </row>
    <row r="64" spans="1:7" x14ac:dyDescent="0.35">
      <c r="A64" s="245">
        <f t="shared" si="2"/>
        <v>61</v>
      </c>
      <c r="B64">
        <f>COUNTIF(BAFA18!F:F,'CARTE 5'!A64)</f>
        <v>0</v>
      </c>
      <c r="C64">
        <f>SUMIF(BAFA18!$F$3:$F$54,'CARTE 5'!A64,BAFA18!$R$3:$R$54)</f>
        <v>0</v>
      </c>
      <c r="D64">
        <f>COUNTIF(BAFD18!$F$3:$F$8,'CARTE 5'!A64)</f>
        <v>0</v>
      </c>
      <c r="E64">
        <f>SUMIF(BAFD18!$F$3:$F$8,'CARTE 5'!A64,BAFD18!$R$3:$R$8)</f>
        <v>0</v>
      </c>
      <c r="F64">
        <f t="shared" si="0"/>
        <v>0</v>
      </c>
      <c r="G64" s="209">
        <f t="shared" si="1"/>
        <v>0</v>
      </c>
    </row>
    <row r="65" spans="1:7" x14ac:dyDescent="0.35">
      <c r="A65" s="245">
        <f t="shared" si="2"/>
        <v>62</v>
      </c>
      <c r="B65">
        <f>COUNTIF(BAFA18!F:F,'CARTE 5'!A65)</f>
        <v>0</v>
      </c>
      <c r="C65">
        <f>SUMIF(BAFA18!$F$3:$F$54,'CARTE 5'!A65,BAFA18!$R$3:$R$54)</f>
        <v>0</v>
      </c>
      <c r="D65">
        <f>COUNTIF(BAFD18!$F$3:$F$8,'CARTE 5'!A65)</f>
        <v>0</v>
      </c>
      <c r="E65">
        <f>SUMIF(BAFD18!$F$3:$F$8,'CARTE 5'!A65,BAFD18!$R$3:$R$8)</f>
        <v>0</v>
      </c>
      <c r="F65">
        <f t="shared" si="0"/>
        <v>0</v>
      </c>
      <c r="G65" s="209">
        <f t="shared" si="1"/>
        <v>0</v>
      </c>
    </row>
    <row r="66" spans="1:7" x14ac:dyDescent="0.35">
      <c r="A66" s="245">
        <f t="shared" si="2"/>
        <v>63</v>
      </c>
      <c r="B66">
        <f>COUNTIF(BAFA18!F:F,'CARTE 5'!A66)</f>
        <v>3</v>
      </c>
      <c r="C66">
        <f>SUMIF(BAFA18!$F$3:$F$54,'CARTE 5'!A66,BAFA18!$R$3:$R$54)</f>
        <v>53</v>
      </c>
      <c r="D66">
        <f>COUNTIF(BAFD18!$F$3:$F$8,'CARTE 5'!A66)</f>
        <v>0</v>
      </c>
      <c r="E66">
        <f>SUMIF(BAFD18!$F$3:$F$8,'CARTE 5'!A66,BAFD18!$R$3:$R$8)</f>
        <v>0</v>
      </c>
      <c r="F66">
        <f t="shared" si="0"/>
        <v>3</v>
      </c>
      <c r="G66" s="209">
        <f t="shared" si="1"/>
        <v>53</v>
      </c>
    </row>
    <row r="67" spans="1:7" x14ac:dyDescent="0.35">
      <c r="A67" s="245">
        <f t="shared" si="2"/>
        <v>64</v>
      </c>
      <c r="B67">
        <f>COUNTIF(BAFA18!F:F,'CARTE 5'!A67)</f>
        <v>0</v>
      </c>
      <c r="C67">
        <f>SUMIF(BAFA18!$F$3:$F$54,'CARTE 5'!A67,BAFA18!$R$3:$R$54)</f>
        <v>0</v>
      </c>
      <c r="D67">
        <f>COUNTIF(BAFD18!$F$3:$F$8,'CARTE 5'!A67)</f>
        <v>0</v>
      </c>
      <c r="E67">
        <f>SUMIF(BAFD18!$F$3:$F$8,'CARTE 5'!A67,BAFD18!$R$3:$R$8)</f>
        <v>0</v>
      </c>
      <c r="F67">
        <f t="shared" si="0"/>
        <v>0</v>
      </c>
      <c r="G67" s="209">
        <f t="shared" si="1"/>
        <v>0</v>
      </c>
    </row>
    <row r="68" spans="1:7" x14ac:dyDescent="0.35">
      <c r="A68" s="245">
        <f t="shared" si="2"/>
        <v>65</v>
      </c>
      <c r="B68">
        <f>COUNTIF(BAFA18!F:F,'CARTE 5'!A68)</f>
        <v>0</v>
      </c>
      <c r="C68">
        <f>SUMIF(BAFA18!$F$3:$F$54,'CARTE 5'!A68,BAFA18!$R$3:$R$54)</f>
        <v>0</v>
      </c>
      <c r="D68">
        <f>COUNTIF(BAFD18!$F$3:$F$8,'CARTE 5'!A68)</f>
        <v>0</v>
      </c>
      <c r="E68">
        <f>SUMIF(BAFD18!$F$3:$F$8,'CARTE 5'!A68,BAFD18!$R$3:$R$8)</f>
        <v>0</v>
      </c>
      <c r="F68">
        <f t="shared" si="0"/>
        <v>0</v>
      </c>
      <c r="G68" s="209">
        <f t="shared" si="1"/>
        <v>0</v>
      </c>
    </row>
    <row r="69" spans="1:7" x14ac:dyDescent="0.35">
      <c r="A69" s="245">
        <f t="shared" si="2"/>
        <v>66</v>
      </c>
      <c r="B69">
        <f>COUNTIF(BAFA18!F:F,'CARTE 5'!A69)</f>
        <v>0</v>
      </c>
      <c r="C69">
        <f>SUMIF(BAFA18!$F$3:$F$54,'CARTE 5'!A69,BAFA18!$R$3:$R$54)</f>
        <v>0</v>
      </c>
      <c r="D69">
        <f>COUNTIF(BAFD18!$F$3:$F$8,'CARTE 5'!A69)</f>
        <v>0</v>
      </c>
      <c r="E69">
        <f>SUMIF(BAFD18!$F$3:$F$8,'CARTE 5'!A69,BAFD18!$R$3:$R$8)</f>
        <v>0</v>
      </c>
      <c r="F69">
        <f t="shared" ref="F69:F102" si="3">B69+D69</f>
        <v>0</v>
      </c>
      <c r="G69" s="209">
        <f t="shared" ref="G69:G102" si="4">C69+E69</f>
        <v>0</v>
      </c>
    </row>
    <row r="70" spans="1:7" x14ac:dyDescent="0.35">
      <c r="A70" s="245">
        <f t="shared" ref="A70:A101" si="5">A69+1</f>
        <v>67</v>
      </c>
      <c r="B70">
        <f>COUNTIF(BAFA18!F:F,'CARTE 5'!A70)</f>
        <v>0</v>
      </c>
      <c r="C70">
        <f>SUMIF(BAFA18!$F$3:$F$54,'CARTE 5'!A70,BAFA18!$R$3:$R$54)</f>
        <v>0</v>
      </c>
      <c r="D70">
        <f>COUNTIF(BAFD18!$F$3:$F$8,'CARTE 5'!A70)</f>
        <v>0</v>
      </c>
      <c r="E70">
        <f>SUMIF(BAFD18!$F$3:$F$8,'CARTE 5'!A70,BAFD18!$R$3:$R$8)</f>
        <v>0</v>
      </c>
      <c r="F70">
        <f t="shared" si="3"/>
        <v>0</v>
      </c>
      <c r="G70" s="209">
        <f t="shared" si="4"/>
        <v>0</v>
      </c>
    </row>
    <row r="71" spans="1:7" x14ac:dyDescent="0.35">
      <c r="A71" s="245">
        <f t="shared" si="5"/>
        <v>68</v>
      </c>
      <c r="B71">
        <f>COUNTIF(BAFA18!F:F,'CARTE 5'!A71)</f>
        <v>0</v>
      </c>
      <c r="C71">
        <f>SUMIF(BAFA18!$F$3:$F$54,'CARTE 5'!A71,BAFA18!$R$3:$R$54)</f>
        <v>0</v>
      </c>
      <c r="D71">
        <f>COUNTIF(BAFD18!$F$3:$F$8,'CARTE 5'!A71)</f>
        <v>0</v>
      </c>
      <c r="E71">
        <f>SUMIF(BAFD18!$F$3:$F$8,'CARTE 5'!A71,BAFD18!$R$3:$R$8)</f>
        <v>0</v>
      </c>
      <c r="F71">
        <f t="shared" si="3"/>
        <v>0</v>
      </c>
      <c r="G71" s="209">
        <f t="shared" si="4"/>
        <v>0</v>
      </c>
    </row>
    <row r="72" spans="1:7" x14ac:dyDescent="0.35">
      <c r="A72" s="245">
        <f t="shared" si="5"/>
        <v>69</v>
      </c>
      <c r="B72">
        <f>COUNTIF(BAFA18!F:F,'CARTE 5'!A72)</f>
        <v>1</v>
      </c>
      <c r="C72">
        <f>SUMIF(BAFA18!$F$3:$F$54,'CARTE 5'!A72,BAFA18!$R$3:$R$54)</f>
        <v>16</v>
      </c>
      <c r="D72">
        <f>COUNTIF(BAFD18!$F$3:$F$8,'CARTE 5'!A72)</f>
        <v>1</v>
      </c>
      <c r="E72">
        <f>SUMIF(BAFD18!$F$3:$F$8,'CARTE 5'!A72,BAFD18!$R$3:$R$8)</f>
        <v>14</v>
      </c>
      <c r="F72">
        <f t="shared" si="3"/>
        <v>2</v>
      </c>
      <c r="G72" s="209">
        <f t="shared" si="4"/>
        <v>30</v>
      </c>
    </row>
    <row r="73" spans="1:7" x14ac:dyDescent="0.35">
      <c r="A73" s="245">
        <f t="shared" si="5"/>
        <v>70</v>
      </c>
      <c r="B73">
        <f>COUNTIF(BAFA18!F:F,'CARTE 5'!A73)</f>
        <v>0</v>
      </c>
      <c r="C73">
        <f>SUMIF(BAFA18!$F$3:$F$54,'CARTE 5'!A73,BAFA18!$R$3:$R$54)</f>
        <v>0</v>
      </c>
      <c r="D73">
        <f>COUNTIF(BAFD18!$F$3:$F$8,'CARTE 5'!A73)</f>
        <v>0</v>
      </c>
      <c r="E73">
        <f>SUMIF(BAFD18!$F$3:$F$8,'CARTE 5'!A73,BAFD18!$R$3:$R$8)</f>
        <v>0</v>
      </c>
      <c r="F73">
        <f t="shared" si="3"/>
        <v>0</v>
      </c>
      <c r="G73" s="209">
        <f t="shared" si="4"/>
        <v>0</v>
      </c>
    </row>
    <row r="74" spans="1:7" x14ac:dyDescent="0.35">
      <c r="A74" s="245">
        <f t="shared" si="5"/>
        <v>71</v>
      </c>
      <c r="B74">
        <f>COUNTIF(BAFA18!F:F,'CARTE 5'!A74)</f>
        <v>0</v>
      </c>
      <c r="C74">
        <f>SUMIF(BAFA18!$F$3:$F$54,'CARTE 5'!A74,BAFA18!$R$3:$R$54)</f>
        <v>0</v>
      </c>
      <c r="D74">
        <f>COUNTIF(BAFD18!$F$3:$F$8,'CARTE 5'!A74)</f>
        <v>0</v>
      </c>
      <c r="E74">
        <f>SUMIF(BAFD18!$F$3:$F$8,'CARTE 5'!A74,BAFD18!$R$3:$R$8)</f>
        <v>0</v>
      </c>
      <c r="F74">
        <f t="shared" si="3"/>
        <v>0</v>
      </c>
      <c r="G74" s="209">
        <f t="shared" si="4"/>
        <v>0</v>
      </c>
    </row>
    <row r="75" spans="1:7" x14ac:dyDescent="0.35">
      <c r="A75" s="245">
        <f t="shared" si="5"/>
        <v>72</v>
      </c>
      <c r="B75">
        <f>COUNTIF(BAFA18!F:F,'CARTE 5'!A75)</f>
        <v>0</v>
      </c>
      <c r="C75">
        <f>SUMIF(BAFA18!$F$3:$F$54,'CARTE 5'!A75,BAFA18!$R$3:$R$54)</f>
        <v>0</v>
      </c>
      <c r="D75">
        <f>COUNTIF(BAFD18!$F$3:$F$8,'CARTE 5'!A75)</f>
        <v>0</v>
      </c>
      <c r="E75">
        <f>SUMIF(BAFD18!$F$3:$F$8,'CARTE 5'!A75,BAFD18!$R$3:$R$8)</f>
        <v>0</v>
      </c>
      <c r="F75">
        <f t="shared" si="3"/>
        <v>0</v>
      </c>
      <c r="G75" s="209">
        <f t="shared" si="4"/>
        <v>0</v>
      </c>
    </row>
    <row r="76" spans="1:7" x14ac:dyDescent="0.35">
      <c r="A76" s="245">
        <f t="shared" si="5"/>
        <v>73</v>
      </c>
      <c r="B76">
        <f>COUNTIF(BAFA18!F:F,'CARTE 5'!A76)</f>
        <v>0</v>
      </c>
      <c r="C76">
        <f>SUMIF(BAFA18!$F$3:$F$54,'CARTE 5'!A76,BAFA18!$R$3:$R$54)</f>
        <v>0</v>
      </c>
      <c r="D76">
        <f>COUNTIF(BAFD18!$F$3:$F$8,'CARTE 5'!A76)</f>
        <v>0</v>
      </c>
      <c r="E76">
        <f>SUMIF(BAFD18!$F$3:$F$8,'CARTE 5'!A76,BAFD18!$R$3:$R$8)</f>
        <v>0</v>
      </c>
      <c r="F76">
        <f t="shared" si="3"/>
        <v>0</v>
      </c>
      <c r="G76" s="209">
        <f t="shared" si="4"/>
        <v>0</v>
      </c>
    </row>
    <row r="77" spans="1:7" x14ac:dyDescent="0.35">
      <c r="A77" s="245">
        <f t="shared" si="5"/>
        <v>74</v>
      </c>
      <c r="B77">
        <f>COUNTIF(BAFA18!F:F,'CARTE 5'!A77)</f>
        <v>0</v>
      </c>
      <c r="C77">
        <f>SUMIF(BAFA18!$F$3:$F$54,'CARTE 5'!A77,BAFA18!$R$3:$R$54)</f>
        <v>0</v>
      </c>
      <c r="D77">
        <f>COUNTIF(BAFD18!$F$3:$F$8,'CARTE 5'!A77)</f>
        <v>0</v>
      </c>
      <c r="E77">
        <f>SUMIF(BAFD18!$F$3:$F$8,'CARTE 5'!A77,BAFD18!$R$3:$R$8)</f>
        <v>0</v>
      </c>
      <c r="F77">
        <f t="shared" si="3"/>
        <v>0</v>
      </c>
      <c r="G77" s="209">
        <f t="shared" si="4"/>
        <v>0</v>
      </c>
    </row>
    <row r="78" spans="1:7" x14ac:dyDescent="0.35">
      <c r="A78" s="245">
        <f t="shared" si="5"/>
        <v>75</v>
      </c>
      <c r="B78">
        <f>COUNTIF(BAFA18!F:F,'CARTE 5'!A78)</f>
        <v>0</v>
      </c>
      <c r="C78">
        <f>SUMIF(BAFA18!$F$3:$F$54,'CARTE 5'!A78,BAFA18!$R$3:$R$54)</f>
        <v>0</v>
      </c>
      <c r="D78">
        <f>COUNTIF(BAFD18!$F$3:$F$8,'CARTE 5'!A78)</f>
        <v>0</v>
      </c>
      <c r="E78">
        <f>SUMIF(BAFD18!$F$3:$F$8,'CARTE 5'!A78,BAFD18!$R$3:$R$8)</f>
        <v>0</v>
      </c>
      <c r="F78">
        <f t="shared" si="3"/>
        <v>0</v>
      </c>
      <c r="G78" s="209">
        <f t="shared" si="4"/>
        <v>0</v>
      </c>
    </row>
    <row r="79" spans="1:7" x14ac:dyDescent="0.35">
      <c r="A79" s="245">
        <f t="shared" si="5"/>
        <v>76</v>
      </c>
      <c r="B79">
        <f>COUNTIF(BAFA18!F:F,'CARTE 5'!A79)</f>
        <v>0</v>
      </c>
      <c r="C79">
        <f>SUMIF(BAFA18!$F$3:$F$54,'CARTE 5'!A79,BAFA18!$R$3:$R$54)</f>
        <v>0</v>
      </c>
      <c r="D79">
        <f>COUNTIF(BAFD18!$F$3:$F$8,'CARTE 5'!A79)</f>
        <v>0</v>
      </c>
      <c r="E79">
        <f>SUMIF(BAFD18!$F$3:$F$8,'CARTE 5'!A79,BAFD18!$R$3:$R$8)</f>
        <v>0</v>
      </c>
      <c r="F79">
        <f t="shared" si="3"/>
        <v>0</v>
      </c>
      <c r="G79" s="209">
        <f t="shared" si="4"/>
        <v>0</v>
      </c>
    </row>
    <row r="80" spans="1:7" x14ac:dyDescent="0.35">
      <c r="A80" s="245">
        <f t="shared" si="5"/>
        <v>77</v>
      </c>
      <c r="B80">
        <f>COUNTIF(BAFA18!F:F,'CARTE 5'!A80)</f>
        <v>0</v>
      </c>
      <c r="C80">
        <f>SUMIF(BAFA18!$F$3:$F$54,'CARTE 5'!A80,BAFA18!$R$3:$R$54)</f>
        <v>0</v>
      </c>
      <c r="D80">
        <f>COUNTIF(BAFD18!$F$3:$F$8,'CARTE 5'!A80)</f>
        <v>0</v>
      </c>
      <c r="E80">
        <f>SUMIF(BAFD18!$F$3:$F$8,'CARTE 5'!A80,BAFD18!$R$3:$R$8)</f>
        <v>0</v>
      </c>
      <c r="F80">
        <f t="shared" si="3"/>
        <v>0</v>
      </c>
      <c r="G80" s="209">
        <f t="shared" si="4"/>
        <v>0</v>
      </c>
    </row>
    <row r="81" spans="1:7" x14ac:dyDescent="0.35">
      <c r="A81" s="245">
        <f t="shared" si="5"/>
        <v>78</v>
      </c>
      <c r="B81">
        <f>COUNTIF(BAFA18!F:F,'CARTE 5'!A81)</f>
        <v>0</v>
      </c>
      <c r="C81">
        <f>SUMIF(BAFA18!$F$3:$F$54,'CARTE 5'!A81,BAFA18!$R$3:$R$54)</f>
        <v>0</v>
      </c>
      <c r="D81">
        <f>COUNTIF(BAFD18!$F$3:$F$8,'CARTE 5'!A81)</f>
        <v>0</v>
      </c>
      <c r="E81">
        <f>SUMIF(BAFD18!$F$3:$F$8,'CARTE 5'!A81,BAFD18!$R$3:$R$8)</f>
        <v>0</v>
      </c>
      <c r="F81">
        <f t="shared" si="3"/>
        <v>0</v>
      </c>
      <c r="G81" s="209">
        <f t="shared" si="4"/>
        <v>0</v>
      </c>
    </row>
    <row r="82" spans="1:7" x14ac:dyDescent="0.35">
      <c r="A82" s="245">
        <f t="shared" si="5"/>
        <v>79</v>
      </c>
      <c r="B82">
        <f>COUNTIF(BAFA18!F:F,'CARTE 5'!A82)</f>
        <v>0</v>
      </c>
      <c r="C82">
        <f>SUMIF(BAFA18!$F$3:$F$54,'CARTE 5'!A82,BAFA18!$R$3:$R$54)</f>
        <v>0</v>
      </c>
      <c r="D82">
        <f>COUNTIF(BAFD18!$F$3:$F$8,'CARTE 5'!A82)</f>
        <v>0</v>
      </c>
      <c r="E82">
        <f>SUMIF(BAFD18!$F$3:$F$8,'CARTE 5'!A82,BAFD18!$R$3:$R$8)</f>
        <v>0</v>
      </c>
      <c r="F82">
        <f t="shared" si="3"/>
        <v>0</v>
      </c>
      <c r="G82" s="209">
        <f t="shared" si="4"/>
        <v>0</v>
      </c>
    </row>
    <row r="83" spans="1:7" x14ac:dyDescent="0.35">
      <c r="A83" s="245">
        <f t="shared" si="5"/>
        <v>80</v>
      </c>
      <c r="B83">
        <f>COUNTIF(BAFA18!F:F,'CARTE 5'!A83)</f>
        <v>0</v>
      </c>
      <c r="C83">
        <f>SUMIF(BAFA18!$F$3:$F$54,'CARTE 5'!A83,BAFA18!$R$3:$R$54)</f>
        <v>0</v>
      </c>
      <c r="D83">
        <f>COUNTIF(BAFD18!$F$3:$F$8,'CARTE 5'!A83)</f>
        <v>0</v>
      </c>
      <c r="E83">
        <f>SUMIF(BAFD18!$F$3:$F$8,'CARTE 5'!A83,BAFD18!$R$3:$R$8)</f>
        <v>0</v>
      </c>
      <c r="F83">
        <f t="shared" si="3"/>
        <v>0</v>
      </c>
      <c r="G83" s="209">
        <f t="shared" si="4"/>
        <v>0</v>
      </c>
    </row>
    <row r="84" spans="1:7" x14ac:dyDescent="0.35">
      <c r="A84" s="245">
        <f t="shared" si="5"/>
        <v>81</v>
      </c>
      <c r="B84">
        <f>COUNTIF(BAFA18!F:F,'CARTE 5'!A84)</f>
        <v>4</v>
      </c>
      <c r="C84">
        <f>SUMIF(BAFA18!$F$3:$F$54,'CARTE 5'!A84,BAFA18!$R$3:$R$54)</f>
        <v>53</v>
      </c>
      <c r="D84">
        <f>COUNTIF(BAFD18!$F$3:$F$8,'CARTE 5'!A84)</f>
        <v>0</v>
      </c>
      <c r="E84">
        <f>SUMIF(BAFD18!$F$3:$F$8,'CARTE 5'!A84,BAFD18!$R$3:$R$8)</f>
        <v>0</v>
      </c>
      <c r="F84">
        <f t="shared" si="3"/>
        <v>4</v>
      </c>
      <c r="G84" s="209">
        <f t="shared" si="4"/>
        <v>53</v>
      </c>
    </row>
    <row r="85" spans="1:7" x14ac:dyDescent="0.35">
      <c r="A85" s="245">
        <f t="shared" si="5"/>
        <v>82</v>
      </c>
      <c r="B85">
        <f>COUNTIF(BAFA18!F:F,'CARTE 5'!A85)</f>
        <v>0</v>
      </c>
      <c r="C85">
        <f>SUMIF(BAFA18!$F$3:$F$54,'CARTE 5'!A85,BAFA18!$R$3:$R$54)</f>
        <v>0</v>
      </c>
      <c r="D85">
        <f>COUNTIF(BAFD18!$F$3:$F$8,'CARTE 5'!A85)</f>
        <v>0</v>
      </c>
      <c r="E85">
        <f>SUMIF(BAFD18!$F$3:$F$8,'CARTE 5'!A85,BAFD18!$R$3:$R$8)</f>
        <v>0</v>
      </c>
      <c r="F85">
        <f t="shared" si="3"/>
        <v>0</v>
      </c>
      <c r="G85" s="209">
        <f t="shared" si="4"/>
        <v>0</v>
      </c>
    </row>
    <row r="86" spans="1:7" x14ac:dyDescent="0.35">
      <c r="A86" s="245">
        <f t="shared" si="5"/>
        <v>83</v>
      </c>
      <c r="B86">
        <f>COUNTIF(BAFA18!F:F,'CARTE 5'!A86)</f>
        <v>0</v>
      </c>
      <c r="C86">
        <f>SUMIF(BAFA18!$F$3:$F$54,'CARTE 5'!A86,BAFA18!$R$3:$R$54)</f>
        <v>0</v>
      </c>
      <c r="D86">
        <f>COUNTIF(BAFD18!$F$3:$F$8,'CARTE 5'!A86)</f>
        <v>0</v>
      </c>
      <c r="E86">
        <f>SUMIF(BAFD18!$F$3:$F$8,'CARTE 5'!A86,BAFD18!$R$3:$R$8)</f>
        <v>0</v>
      </c>
      <c r="F86">
        <f t="shared" si="3"/>
        <v>0</v>
      </c>
      <c r="G86" s="209">
        <f t="shared" si="4"/>
        <v>0</v>
      </c>
    </row>
    <row r="87" spans="1:7" x14ac:dyDescent="0.35">
      <c r="A87" s="245">
        <f t="shared" si="5"/>
        <v>84</v>
      </c>
      <c r="B87">
        <f>COUNTIF(BAFA18!F:F,'CARTE 5'!A87)</f>
        <v>0</v>
      </c>
      <c r="C87">
        <f>SUMIF(BAFA18!$F$3:$F$54,'CARTE 5'!A87,BAFA18!$R$3:$R$54)</f>
        <v>0</v>
      </c>
      <c r="D87">
        <f>COUNTIF(BAFD18!$F$3:$F$8,'CARTE 5'!A87)</f>
        <v>0</v>
      </c>
      <c r="E87">
        <f>SUMIF(BAFD18!$F$3:$F$8,'CARTE 5'!A87,BAFD18!$R$3:$R$8)</f>
        <v>0</v>
      </c>
      <c r="F87">
        <f t="shared" si="3"/>
        <v>0</v>
      </c>
      <c r="G87" s="209">
        <f t="shared" si="4"/>
        <v>0</v>
      </c>
    </row>
    <row r="88" spans="1:7" x14ac:dyDescent="0.35">
      <c r="A88" s="245">
        <f t="shared" si="5"/>
        <v>85</v>
      </c>
      <c r="B88">
        <f>COUNTIF(BAFA18!F:F,'CARTE 5'!A88)</f>
        <v>0</v>
      </c>
      <c r="C88">
        <f>SUMIF(BAFA18!$F$3:$F$54,'CARTE 5'!A88,BAFA18!$R$3:$R$54)</f>
        <v>0</v>
      </c>
      <c r="D88">
        <f>COUNTIF(BAFD18!$F$3:$F$8,'CARTE 5'!A88)</f>
        <v>0</v>
      </c>
      <c r="E88">
        <f>SUMIF(BAFD18!$F$3:$F$8,'CARTE 5'!A88,BAFD18!$R$3:$R$8)</f>
        <v>0</v>
      </c>
      <c r="F88">
        <f t="shared" si="3"/>
        <v>0</v>
      </c>
      <c r="G88" s="209">
        <f t="shared" si="4"/>
        <v>0</v>
      </c>
    </row>
    <row r="89" spans="1:7" x14ac:dyDescent="0.35">
      <c r="A89" s="245">
        <f t="shared" si="5"/>
        <v>86</v>
      </c>
      <c r="B89">
        <f>COUNTIF(BAFA18!F:F,'CARTE 5'!A89)</f>
        <v>1</v>
      </c>
      <c r="C89">
        <f>SUMIF(BAFA18!$F$3:$F$54,'CARTE 5'!A89,BAFA18!$R$3:$R$54)</f>
        <v>21</v>
      </c>
      <c r="D89">
        <f>COUNTIF(BAFD18!$F$3:$F$8,'CARTE 5'!A89)</f>
        <v>0</v>
      </c>
      <c r="E89">
        <f>SUMIF(BAFD18!$F$3:$F$8,'CARTE 5'!A89,BAFD18!$R$3:$R$8)</f>
        <v>0</v>
      </c>
      <c r="F89">
        <f t="shared" si="3"/>
        <v>1</v>
      </c>
      <c r="G89" s="209">
        <f t="shared" si="4"/>
        <v>21</v>
      </c>
    </row>
    <row r="90" spans="1:7" x14ac:dyDescent="0.35">
      <c r="A90" s="245">
        <f t="shared" si="5"/>
        <v>87</v>
      </c>
      <c r="B90">
        <f>COUNTIF(BAFA18!F:F,'CARTE 5'!A90)</f>
        <v>0</v>
      </c>
      <c r="C90">
        <f>SUMIF(BAFA18!$F$3:$F$54,'CARTE 5'!A90,BAFA18!$R$3:$R$54)</f>
        <v>0</v>
      </c>
      <c r="D90">
        <f>COUNTIF(BAFD18!$F$3:$F$8,'CARTE 5'!A90)</f>
        <v>0</v>
      </c>
      <c r="E90">
        <f>SUMIF(BAFD18!$F$3:$F$8,'CARTE 5'!A90,BAFD18!$R$3:$R$8)</f>
        <v>0</v>
      </c>
      <c r="F90">
        <f t="shared" si="3"/>
        <v>0</v>
      </c>
      <c r="G90" s="209">
        <f t="shared" si="4"/>
        <v>0</v>
      </c>
    </row>
    <row r="91" spans="1:7" x14ac:dyDescent="0.35">
      <c r="A91" s="245">
        <f t="shared" si="5"/>
        <v>88</v>
      </c>
      <c r="B91">
        <f>COUNTIF(BAFA18!F:F,'CARTE 5'!A91)</f>
        <v>2</v>
      </c>
      <c r="C91">
        <f>SUMIF(BAFA18!$F$3:$F$54,'CARTE 5'!A91,BAFA18!$R$3:$R$54)</f>
        <v>31</v>
      </c>
      <c r="D91">
        <f>COUNTIF(BAFD18!$F$3:$F$8,'CARTE 5'!A91)</f>
        <v>0</v>
      </c>
      <c r="E91">
        <f>SUMIF(BAFD18!$F$3:$F$8,'CARTE 5'!A91,BAFD18!$R$3:$R$8)</f>
        <v>0</v>
      </c>
      <c r="F91">
        <f t="shared" si="3"/>
        <v>2</v>
      </c>
      <c r="G91" s="209">
        <f t="shared" si="4"/>
        <v>31</v>
      </c>
    </row>
    <row r="92" spans="1:7" x14ac:dyDescent="0.35">
      <c r="A92" s="245">
        <f t="shared" si="5"/>
        <v>89</v>
      </c>
      <c r="B92">
        <f>COUNTIF(BAFA18!F:F,'CARTE 5'!A92)</f>
        <v>0</v>
      </c>
      <c r="C92">
        <f>SUMIF(BAFA18!$F$3:$F$54,'CARTE 5'!A92,BAFA18!$R$3:$R$54)</f>
        <v>0</v>
      </c>
      <c r="D92">
        <f>COUNTIF(BAFD18!$F$3:$F$8,'CARTE 5'!A92)</f>
        <v>0</v>
      </c>
      <c r="E92">
        <f>SUMIF(BAFD18!$F$3:$F$8,'CARTE 5'!A92,BAFD18!$R$3:$R$8)</f>
        <v>0</v>
      </c>
      <c r="F92">
        <f t="shared" si="3"/>
        <v>0</v>
      </c>
      <c r="G92" s="209">
        <f t="shared" si="4"/>
        <v>0</v>
      </c>
    </row>
    <row r="93" spans="1:7" x14ac:dyDescent="0.35">
      <c r="A93" s="245">
        <f t="shared" si="5"/>
        <v>90</v>
      </c>
      <c r="B93">
        <f>COUNTIF(BAFA18!F:F,'CARTE 5'!A93)</f>
        <v>0</v>
      </c>
      <c r="C93">
        <f>SUMIF(BAFA18!$F$3:$F$54,'CARTE 5'!A93,BAFA18!$R$3:$R$54)</f>
        <v>0</v>
      </c>
      <c r="D93">
        <f>COUNTIF(BAFD18!$F$3:$F$8,'CARTE 5'!A93)</f>
        <v>0</v>
      </c>
      <c r="E93">
        <f>SUMIF(BAFD18!$F$3:$F$8,'CARTE 5'!A93,BAFD18!$R$3:$R$8)</f>
        <v>0</v>
      </c>
      <c r="F93">
        <f t="shared" si="3"/>
        <v>0</v>
      </c>
      <c r="G93" s="209">
        <f t="shared" si="4"/>
        <v>0</v>
      </c>
    </row>
    <row r="94" spans="1:7" x14ac:dyDescent="0.35">
      <c r="A94" s="245">
        <f t="shared" si="5"/>
        <v>91</v>
      </c>
      <c r="B94">
        <f>COUNTIF(BAFA18!F:F,'CARTE 5'!A94)</f>
        <v>0</v>
      </c>
      <c r="C94">
        <f>SUMIF(BAFA18!$F$3:$F$54,'CARTE 5'!A94,BAFA18!$R$3:$R$54)</f>
        <v>0</v>
      </c>
      <c r="D94">
        <f>COUNTIF(BAFD18!$F$3:$F$8,'CARTE 5'!A94)</f>
        <v>0</v>
      </c>
      <c r="E94">
        <f>SUMIF(BAFD18!$F$3:$F$8,'CARTE 5'!A94,BAFD18!$R$3:$R$8)</f>
        <v>0</v>
      </c>
      <c r="F94">
        <f t="shared" si="3"/>
        <v>0</v>
      </c>
      <c r="G94" s="209">
        <f t="shared" si="4"/>
        <v>0</v>
      </c>
    </row>
    <row r="95" spans="1:7" x14ac:dyDescent="0.35">
      <c r="A95" s="245">
        <f t="shared" si="5"/>
        <v>92</v>
      </c>
      <c r="B95">
        <f>COUNTIF(BAFA18!F:F,'CARTE 5'!A95)</f>
        <v>0</v>
      </c>
      <c r="C95">
        <f>SUMIF(BAFA18!$F$3:$F$54,'CARTE 5'!A95,BAFA18!$R$3:$R$54)</f>
        <v>0</v>
      </c>
      <c r="D95">
        <f>COUNTIF(BAFD18!$F$3:$F$8,'CARTE 5'!A95)</f>
        <v>0</v>
      </c>
      <c r="E95">
        <f>SUMIF(BAFD18!$F$3:$F$8,'CARTE 5'!A95,BAFD18!$R$3:$R$8)</f>
        <v>0</v>
      </c>
      <c r="F95">
        <f t="shared" si="3"/>
        <v>0</v>
      </c>
      <c r="G95" s="209">
        <f t="shared" si="4"/>
        <v>0</v>
      </c>
    </row>
    <row r="96" spans="1:7" x14ac:dyDescent="0.35">
      <c r="A96" s="245">
        <f t="shared" si="5"/>
        <v>93</v>
      </c>
      <c r="B96">
        <f>COUNTIF(BAFA18!F:F,'CARTE 5'!A96)</f>
        <v>0</v>
      </c>
      <c r="C96">
        <f>SUMIF(BAFA18!$F$3:$F$54,'CARTE 5'!A96,BAFA18!$R$3:$R$54)</f>
        <v>0</v>
      </c>
      <c r="D96">
        <f>COUNTIF(BAFD18!$F$3:$F$8,'CARTE 5'!A96)</f>
        <v>0</v>
      </c>
      <c r="E96">
        <f>SUMIF(BAFD18!$F$3:$F$8,'CARTE 5'!A96,BAFD18!$R$3:$R$8)</f>
        <v>0</v>
      </c>
      <c r="F96">
        <f t="shared" si="3"/>
        <v>0</v>
      </c>
      <c r="G96" s="209">
        <f t="shared" si="4"/>
        <v>0</v>
      </c>
    </row>
    <row r="97" spans="1:7" x14ac:dyDescent="0.35">
      <c r="A97" s="245">
        <f t="shared" si="5"/>
        <v>94</v>
      </c>
      <c r="B97">
        <f>COUNTIF(BAFA18!F:F,'CARTE 5'!A97)</f>
        <v>1</v>
      </c>
      <c r="C97">
        <f>SUMIF(BAFA18!$F$3:$F$54,'CARTE 5'!A97,BAFA18!$R$3:$R$54)</f>
        <v>8</v>
      </c>
      <c r="D97">
        <f>COUNTIF(BAFD18!$F$3:$F$8,'CARTE 5'!A97)</f>
        <v>0</v>
      </c>
      <c r="E97">
        <f>SUMIF(BAFD18!$F$3:$F$8,'CARTE 5'!A97,BAFD18!$R$3:$R$8)</f>
        <v>0</v>
      </c>
      <c r="F97">
        <f t="shared" si="3"/>
        <v>1</v>
      </c>
      <c r="G97" s="209">
        <f t="shared" si="4"/>
        <v>8</v>
      </c>
    </row>
    <row r="98" spans="1:7" x14ac:dyDescent="0.35">
      <c r="A98" s="245">
        <f t="shared" si="5"/>
        <v>95</v>
      </c>
      <c r="B98">
        <f>COUNTIF(BAFA18!F:F,'CARTE 5'!A98)</f>
        <v>0</v>
      </c>
      <c r="C98">
        <f>SUMIF(BAFA18!$F$3:$F$54,'CARTE 5'!A98,BAFA18!$R$3:$R$54)</f>
        <v>0</v>
      </c>
      <c r="D98">
        <f>COUNTIF(BAFD18!$F$3:$F$8,'CARTE 5'!A98)</f>
        <v>0</v>
      </c>
      <c r="E98">
        <f>SUMIF(BAFD18!$F$3:$F$8,'CARTE 5'!A98,BAFD18!$R$3:$R$8)</f>
        <v>0</v>
      </c>
      <c r="F98">
        <f t="shared" si="3"/>
        <v>0</v>
      </c>
      <c r="G98" s="209">
        <f t="shared" si="4"/>
        <v>0</v>
      </c>
    </row>
    <row r="99" spans="1:7" x14ac:dyDescent="0.35">
      <c r="A99" s="245">
        <f t="shared" si="5"/>
        <v>96</v>
      </c>
      <c r="B99">
        <f>COUNTIF(BAFA18!F:F,'CARTE 5'!A99)</f>
        <v>0</v>
      </c>
      <c r="C99">
        <f>SUMIF(BAFA18!$F$3:$F$54,'CARTE 5'!A99,BAFA18!$R$3:$R$54)</f>
        <v>0</v>
      </c>
      <c r="D99">
        <f>COUNTIF(BAFD18!$F$3:$F$8,'CARTE 5'!A99)</f>
        <v>0</v>
      </c>
      <c r="E99">
        <f>SUMIF(BAFD18!$F$3:$F$8,'CARTE 5'!A99,BAFD18!$R$3:$R$8)</f>
        <v>0</v>
      </c>
      <c r="F99">
        <f t="shared" si="3"/>
        <v>0</v>
      </c>
      <c r="G99" s="209">
        <f t="shared" si="4"/>
        <v>0</v>
      </c>
    </row>
    <row r="100" spans="1:7" x14ac:dyDescent="0.35">
      <c r="A100" s="245">
        <f t="shared" si="5"/>
        <v>97</v>
      </c>
      <c r="B100">
        <f>COUNTIF(BAFA18!F:F,'CARTE 5'!A100)</f>
        <v>3</v>
      </c>
      <c r="C100">
        <f>SUMIF(BAFA18!$F$3:$F$54,'CARTE 5'!A100,BAFA18!$R$3:$R$54)</f>
        <v>58</v>
      </c>
      <c r="D100">
        <f>COUNTIF(BAFD18!$F$3:$F$8,'CARTE 5'!A100)</f>
        <v>0</v>
      </c>
      <c r="E100">
        <f>SUMIF(BAFD18!$F$3:$F$8,'CARTE 5'!A100,BAFD18!$R$3:$R$8)</f>
        <v>0</v>
      </c>
      <c r="F100">
        <f t="shared" si="3"/>
        <v>3</v>
      </c>
      <c r="G100" s="209">
        <f t="shared" si="4"/>
        <v>58</v>
      </c>
    </row>
    <row r="101" spans="1:7" x14ac:dyDescent="0.35">
      <c r="A101" s="245">
        <f t="shared" si="5"/>
        <v>98</v>
      </c>
      <c r="B101">
        <f>COUNTIF(BAFA18!F:F,'CARTE 5'!A101)</f>
        <v>0</v>
      </c>
      <c r="C101">
        <f>SUMIF(BAFA18!$F$3:$F$54,'CARTE 5'!A101,BAFA18!$R$3:$R$54)</f>
        <v>0</v>
      </c>
      <c r="D101">
        <f>COUNTIF(BAFD18!$F$3:$F$8,'CARTE 5'!A101)</f>
        <v>0</v>
      </c>
      <c r="E101">
        <f>SUMIF(BAFD18!$F$3:$F$8,'CARTE 5'!A101,BAFD18!$R$3:$R$8)</f>
        <v>0</v>
      </c>
      <c r="F101">
        <f t="shared" si="3"/>
        <v>0</v>
      </c>
      <c r="G101" s="209">
        <f t="shared" si="4"/>
        <v>0</v>
      </c>
    </row>
    <row r="102" spans="1:7" x14ac:dyDescent="0.35">
      <c r="A102" s="245"/>
      <c r="B102">
        <f>COUNTIF(BAFA18!F:F,'CARTE 5'!A102)</f>
        <v>0</v>
      </c>
      <c r="C102">
        <f>SUMIF(BAFA18!$F$3:$F$54,'CARTE 5'!A102,BAFA18!$R$3:$R$54)</f>
        <v>0</v>
      </c>
      <c r="D102">
        <f>COUNTIF(BAFD18!$F$3:$F$8,'CARTE 5'!A102)</f>
        <v>0</v>
      </c>
      <c r="E102">
        <f>SUMIF(BAFD18!$F$3:$F$8,'CARTE 5'!A102,BAFD18!$R$3:$R$8)</f>
        <v>0</v>
      </c>
      <c r="F102">
        <f t="shared" si="3"/>
        <v>0</v>
      </c>
      <c r="G102" s="209">
        <f t="shared" si="4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0077E-CD01-4D98-8DEC-AF7994DCC080}">
  <dimension ref="A1:I102"/>
  <sheetViews>
    <sheetView topLeftCell="B1" workbookViewId="0">
      <selection activeCell="E4" sqref="E4"/>
    </sheetView>
  </sheetViews>
  <sheetFormatPr baseColWidth="10" defaultRowHeight="14.5" x14ac:dyDescent="0.35"/>
  <cols>
    <col min="1" max="1" width="50.81640625" customWidth="1"/>
    <col min="2" max="2" width="15.7265625" style="211" customWidth="1"/>
    <col min="3" max="3" width="15.1796875" customWidth="1"/>
    <col min="4" max="4" width="13.81640625" customWidth="1"/>
    <col min="8" max="8" width="12.26953125" customWidth="1"/>
    <col min="9" max="9" width="16.54296875" customWidth="1"/>
  </cols>
  <sheetData>
    <row r="1" spans="1:9" ht="29.5" thickBot="1" x14ac:dyDescent="0.4">
      <c r="A1" s="256" t="s">
        <v>1247</v>
      </c>
    </row>
    <row r="3" spans="1:9" x14ac:dyDescent="0.35">
      <c r="B3" s="245" t="s">
        <v>1204</v>
      </c>
      <c r="C3" s="208" t="s">
        <v>1942</v>
      </c>
      <c r="D3" s="201" t="s">
        <v>1943</v>
      </c>
      <c r="F3" s="208" t="s">
        <v>1944</v>
      </c>
      <c r="G3" s="208" t="s">
        <v>1945</v>
      </c>
      <c r="H3" s="208" t="s">
        <v>1943</v>
      </c>
      <c r="I3" s="208" t="s">
        <v>1946</v>
      </c>
    </row>
    <row r="4" spans="1:9" x14ac:dyDescent="0.35">
      <c r="B4" s="245">
        <v>1</v>
      </c>
      <c r="C4" s="208">
        <f>SUMIF('SV18'!$E$3:$E$119,'CARTE 6'!B4,'SV18'!$AU$3:$AU$120)</f>
        <v>36</v>
      </c>
      <c r="D4" s="201">
        <f>COUNTIF('SV18'!$E$3:$E$120,'CARTE 6'!B4)</f>
        <v>1</v>
      </c>
      <c r="F4" s="245" t="s">
        <v>905</v>
      </c>
      <c r="G4" s="208" t="s">
        <v>885</v>
      </c>
      <c r="H4" s="208">
        <f>COUNTIF('SV18'!G:G,'CARTE 6'!F4)</f>
        <v>0</v>
      </c>
      <c r="I4" s="208">
        <f>SUMIF('SV18'!G:G,'CARTE 6'!F4,'SV18'!AU:AU)</f>
        <v>0</v>
      </c>
    </row>
    <row r="5" spans="1:9" x14ac:dyDescent="0.35">
      <c r="B5" s="245">
        <f>B4+1</f>
        <v>2</v>
      </c>
      <c r="C5" s="208">
        <f>SUMIF('SV18'!$E$3:$E$119,'CARTE 6'!B5,'SV18'!$AU$3:$AU$120)</f>
        <v>0</v>
      </c>
      <c r="D5" s="201">
        <f>COUNTIF('SV18'!$E$3:$E$120,'CARTE 6'!B5)</f>
        <v>0</v>
      </c>
      <c r="F5" s="245" t="s">
        <v>906</v>
      </c>
      <c r="G5" s="208" t="s">
        <v>885</v>
      </c>
      <c r="H5" s="208">
        <f>COUNTIF('SV18'!G:G,'CARTE 6'!F5)</f>
        <v>0</v>
      </c>
      <c r="I5" s="208">
        <f>SUMIF('SV18'!G:G,'CARTE 6'!F5,'SV18'!AU:AU)</f>
        <v>0</v>
      </c>
    </row>
    <row r="6" spans="1:9" x14ac:dyDescent="0.35">
      <c r="B6" s="245">
        <f t="shared" ref="B6:B69" si="0">B5+1</f>
        <v>3</v>
      </c>
      <c r="C6" s="208">
        <f>SUMIF('SV18'!$E$3:$E$119,'CARTE 6'!B6,'SV18'!$AU$3:$AU$120)</f>
        <v>0</v>
      </c>
      <c r="D6" s="201">
        <f>COUNTIF('SV18'!$E$3:$E$120,'CARTE 6'!B6)</f>
        <v>0</v>
      </c>
      <c r="F6" s="245" t="s">
        <v>907</v>
      </c>
      <c r="G6" s="208" t="s">
        <v>885</v>
      </c>
      <c r="H6" s="208">
        <f>COUNTIF('SV18'!G:G,'CARTE 6'!F6)</f>
        <v>1</v>
      </c>
      <c r="I6" s="208">
        <f>SUMIF('SV18'!G:G,'CARTE 6'!F6,'SV18'!AU:AU)</f>
        <v>32</v>
      </c>
    </row>
    <row r="7" spans="1:9" x14ac:dyDescent="0.35">
      <c r="B7" s="245">
        <f t="shared" si="0"/>
        <v>4</v>
      </c>
      <c r="C7" s="208">
        <f>SUMIF('SV18'!$E$3:$E$119,'CARTE 6'!B7,'SV18'!$AU$3:$AU$120)</f>
        <v>0</v>
      </c>
      <c r="D7" s="201">
        <f>COUNTIF('SV18'!$E$3:$E$120,'CARTE 6'!B7)</f>
        <v>0</v>
      </c>
      <c r="F7" s="245" t="s">
        <v>903</v>
      </c>
      <c r="G7" s="208" t="s">
        <v>885</v>
      </c>
      <c r="H7" s="208">
        <f>COUNTIF('SV18'!G:G,'CARTE 6'!F7)</f>
        <v>0</v>
      </c>
      <c r="I7" s="208">
        <f>SUMIF('SV18'!G:G,'CARTE 6'!F7,'SV18'!AU:AU)</f>
        <v>0</v>
      </c>
    </row>
    <row r="8" spans="1:9" x14ac:dyDescent="0.35">
      <c r="B8" s="245">
        <f t="shared" si="0"/>
        <v>5</v>
      </c>
      <c r="C8" s="208">
        <f>SUMIF('SV18'!$E$3:$E$119,'CARTE 6'!B8,'SV18'!$AU$3:$AU$120)</f>
        <v>32</v>
      </c>
      <c r="D8" s="201">
        <f>COUNTIF('SV18'!$E$3:$E$120,'CARTE 6'!B8)</f>
        <v>1</v>
      </c>
      <c r="F8" s="245" t="s">
        <v>904</v>
      </c>
      <c r="G8" s="208" t="s">
        <v>885</v>
      </c>
      <c r="H8" s="208">
        <f>COUNTIF('SV18'!G:G,'CARTE 6'!F8)</f>
        <v>0</v>
      </c>
      <c r="I8" s="208">
        <f>SUMIF('SV18'!G:G,'CARTE 6'!F8,'SV18'!AU:AU)</f>
        <v>0</v>
      </c>
    </row>
    <row r="9" spans="1:9" x14ac:dyDescent="0.35">
      <c r="B9" s="245">
        <f t="shared" si="0"/>
        <v>6</v>
      </c>
      <c r="C9" s="208">
        <f>SUMIF('SV18'!$E$3:$E$119,'CARTE 6'!B9,'SV18'!$AU$3:$AU$120)</f>
        <v>28</v>
      </c>
      <c r="D9" s="201">
        <f>COUNTIF('SV18'!$E$3:$E$120,'CARTE 6'!B9)</f>
        <v>1</v>
      </c>
      <c r="F9" s="245">
        <v>10029</v>
      </c>
      <c r="G9" s="208" t="s">
        <v>885</v>
      </c>
      <c r="H9" s="208">
        <f>COUNTIF('SV18'!G:G,'CARTE 6'!F9)</f>
        <v>0</v>
      </c>
      <c r="I9" s="208">
        <f>SUMIF('SV18'!G:G,'CARTE 6'!F9,'SV18'!AU:AU)</f>
        <v>0</v>
      </c>
    </row>
    <row r="10" spans="1:9" x14ac:dyDescent="0.35">
      <c r="B10" s="245">
        <f t="shared" si="0"/>
        <v>7</v>
      </c>
      <c r="C10" s="208">
        <f>SUMIF('SV18'!$E$3:$E$119,'CARTE 6'!B10,'SV18'!$AU$3:$AU$120)</f>
        <v>74</v>
      </c>
      <c r="D10" s="201">
        <f>COUNTIF('SV18'!$E$3:$E$120,'CARTE 6'!B10)</f>
        <v>2</v>
      </c>
      <c r="F10" s="245" t="s">
        <v>902</v>
      </c>
      <c r="G10" s="208" t="s">
        <v>885</v>
      </c>
      <c r="H10" s="208">
        <f>COUNTIF('SV18'!G:G,'CARTE 6'!F10)</f>
        <v>2</v>
      </c>
      <c r="I10" s="208">
        <f>SUMIF('SV18'!G:G,'CARTE 6'!F10,'SV18'!AU:AU)</f>
        <v>55</v>
      </c>
    </row>
    <row r="11" spans="1:9" x14ac:dyDescent="0.35">
      <c r="B11" s="245">
        <f t="shared" si="0"/>
        <v>8</v>
      </c>
      <c r="C11" s="208">
        <f>SUMIF('SV18'!$E$3:$E$119,'CARTE 6'!B11,'SV18'!$AU$3:$AU$120)</f>
        <v>0</v>
      </c>
      <c r="D11" s="201">
        <f>COUNTIF('SV18'!$E$3:$E$120,'CARTE 6'!B11)</f>
        <v>0</v>
      </c>
      <c r="F11" s="245">
        <v>13001</v>
      </c>
      <c r="G11" s="208" t="s">
        <v>885</v>
      </c>
      <c r="H11" s="208">
        <f>COUNTIF('SV18'!G:G,'CARTE 6'!F11)</f>
        <v>0</v>
      </c>
      <c r="I11" s="208">
        <f>SUMIF('SV18'!G:G,'CARTE 6'!F11,'SV18'!AU:AU)</f>
        <v>0</v>
      </c>
    </row>
    <row r="12" spans="1:9" x14ac:dyDescent="0.35">
      <c r="B12" s="245">
        <f t="shared" si="0"/>
        <v>9</v>
      </c>
      <c r="C12" s="208">
        <f>SUMIF('SV18'!$E$3:$E$119,'CARTE 6'!B12,'SV18'!$AU$3:$AU$120)</f>
        <v>0</v>
      </c>
      <c r="D12" s="201">
        <f>COUNTIF('SV18'!$E$3:$E$120,'CARTE 6'!B12)</f>
        <v>0</v>
      </c>
      <c r="F12" s="245">
        <v>17140</v>
      </c>
      <c r="G12" s="208" t="s">
        <v>885</v>
      </c>
      <c r="H12" s="208">
        <f>COUNTIF('SV18'!G:G,'CARTE 6'!F12)</f>
        <v>0</v>
      </c>
      <c r="I12" s="208">
        <f>SUMIF('SV18'!G:G,'CARTE 6'!F12,'SV18'!AU:AU)</f>
        <v>0</v>
      </c>
    </row>
    <row r="13" spans="1:9" x14ac:dyDescent="0.35">
      <c r="B13" s="245">
        <f t="shared" si="0"/>
        <v>10</v>
      </c>
      <c r="C13" s="208">
        <f>SUMIF('SV18'!$E$3:$E$119,'CARTE 6'!B13,'SV18'!$AU$3:$AU$120)</f>
        <v>0</v>
      </c>
      <c r="D13" s="201">
        <f>COUNTIF('SV18'!$E$3:$E$120,'CARTE 6'!B13)</f>
        <v>0</v>
      </c>
      <c r="F13" s="245">
        <v>21017</v>
      </c>
      <c r="G13" s="208" t="s">
        <v>885</v>
      </c>
      <c r="H13" s="208">
        <f>COUNTIF('SV18'!G:G,'CARTE 6'!F13)</f>
        <v>0</v>
      </c>
      <c r="I13" s="208">
        <f>SUMIF('SV18'!G:G,'CARTE 6'!F13,'SV18'!AU:AU)</f>
        <v>0</v>
      </c>
    </row>
    <row r="14" spans="1:9" x14ac:dyDescent="0.35">
      <c r="B14" s="245">
        <f t="shared" si="0"/>
        <v>11</v>
      </c>
      <c r="C14" s="208">
        <f>SUMIF('SV18'!$E$3:$E$119,'CARTE 6'!B14,'SV18'!$AU$3:$AU$120)</f>
        <v>0</v>
      </c>
      <c r="D14" s="201">
        <f>COUNTIF('SV18'!$E$3:$E$120,'CARTE 6'!B14)</f>
        <v>0</v>
      </c>
      <c r="F14" s="245">
        <v>24183</v>
      </c>
      <c r="G14" s="208" t="s">
        <v>885</v>
      </c>
      <c r="H14" s="208">
        <f>COUNTIF('SV18'!G:G,'CARTE 6'!F14)</f>
        <v>1</v>
      </c>
      <c r="I14" s="208">
        <f>SUMIF('SV18'!G:G,'CARTE 6'!F14,'SV18'!AU:AU)</f>
        <v>30</v>
      </c>
    </row>
    <row r="15" spans="1:9" x14ac:dyDescent="0.35">
      <c r="B15" s="245">
        <f t="shared" si="0"/>
        <v>12</v>
      </c>
      <c r="C15" s="208">
        <f>SUMIF('SV18'!$E$3:$E$119,'CARTE 6'!B15,'SV18'!$AU$3:$AU$120)</f>
        <v>81</v>
      </c>
      <c r="D15" s="201">
        <f>COUNTIF('SV18'!$E$3:$E$120,'CARTE 6'!B15)</f>
        <v>3</v>
      </c>
      <c r="F15" s="245" t="s">
        <v>918</v>
      </c>
      <c r="G15" s="208" t="s">
        <v>885</v>
      </c>
      <c r="H15" s="208">
        <f>COUNTIF('SV18'!G:G,'CARTE 6'!F15)</f>
        <v>1</v>
      </c>
      <c r="I15" s="208">
        <f>SUMIF('SV18'!G:G,'CARTE 6'!F15,'SV18'!AU:AU)</f>
        <v>20</v>
      </c>
    </row>
    <row r="16" spans="1:9" x14ac:dyDescent="0.35">
      <c r="B16" s="245">
        <f t="shared" si="0"/>
        <v>13</v>
      </c>
      <c r="C16" s="208">
        <f>SUMIF('SV18'!$E$3:$E$119,'CARTE 6'!B16,'SV18'!$AU$3:$AU$120)</f>
        <v>42</v>
      </c>
      <c r="D16" s="201">
        <f>COUNTIF('SV18'!$E$3:$E$120,'CARTE 6'!B16)</f>
        <v>1</v>
      </c>
      <c r="F16" s="245">
        <v>35334</v>
      </c>
      <c r="G16" s="208" t="s">
        <v>885</v>
      </c>
      <c r="H16" s="208">
        <f>COUNTIF('SV18'!G:G,'CARTE 6'!F16)</f>
        <v>3</v>
      </c>
      <c r="I16" s="208">
        <f>SUMIF('SV18'!G:G,'CARTE 6'!F16,'SV18'!AU:AU)</f>
        <v>92</v>
      </c>
    </row>
    <row r="17" spans="2:9" x14ac:dyDescent="0.35">
      <c r="B17" s="245">
        <f t="shared" si="0"/>
        <v>14</v>
      </c>
      <c r="C17" s="208">
        <f>SUMIF('SV18'!$E$3:$E$119,'CARTE 6'!B17,'SV18'!$AU$3:$AU$120)</f>
        <v>474</v>
      </c>
      <c r="D17" s="201">
        <f>COUNTIF('SV18'!$E$3:$E$120,'CARTE 6'!B17)</f>
        <v>10</v>
      </c>
      <c r="F17" s="245">
        <v>37132</v>
      </c>
      <c r="G17" s="208" t="s">
        <v>885</v>
      </c>
      <c r="H17" s="208">
        <f>COUNTIF('SV18'!G:G,'CARTE 6'!F17)</f>
        <v>0</v>
      </c>
      <c r="I17" s="208">
        <f>SUMIF('SV18'!G:G,'CARTE 6'!F17,'SV18'!AU:AU)</f>
        <v>0</v>
      </c>
    </row>
    <row r="18" spans="2:9" x14ac:dyDescent="0.35">
      <c r="B18" s="245">
        <f t="shared" si="0"/>
        <v>15</v>
      </c>
      <c r="C18" s="208">
        <f>SUMIF('SV18'!$E$3:$E$119,'CARTE 6'!B18,'SV18'!$AU$3:$AU$120)</f>
        <v>0</v>
      </c>
      <c r="D18" s="201">
        <f>COUNTIF('SV18'!$E$3:$E$120,'CARTE 6'!B18)</f>
        <v>0</v>
      </c>
      <c r="F18" s="245">
        <v>42039</v>
      </c>
      <c r="G18" s="208" t="s">
        <v>885</v>
      </c>
      <c r="H18" s="208">
        <f>COUNTIF('SV18'!G:G,'CARTE 6'!F18)</f>
        <v>0</v>
      </c>
      <c r="I18" s="208">
        <f>SUMIF('SV18'!G:G,'CARTE 6'!F18,'SV18'!AU:AU)</f>
        <v>0</v>
      </c>
    </row>
    <row r="19" spans="2:9" x14ac:dyDescent="0.35">
      <c r="B19" s="245">
        <f t="shared" si="0"/>
        <v>16</v>
      </c>
      <c r="C19" s="208">
        <f>SUMIF('SV18'!$E$3:$E$119,'CARTE 6'!B19,'SV18'!$AU$3:$AU$120)</f>
        <v>32</v>
      </c>
      <c r="D19" s="201">
        <f>COUNTIF('SV18'!$E$3:$E$120,'CARTE 6'!B19)</f>
        <v>1</v>
      </c>
      <c r="F19" s="245">
        <v>42292</v>
      </c>
      <c r="G19" s="208" t="s">
        <v>885</v>
      </c>
      <c r="H19" s="208">
        <f>COUNTIF('SV18'!G:G,'CARTE 6'!F19)</f>
        <v>0</v>
      </c>
      <c r="I19" s="208">
        <f>SUMIF('SV18'!G:G,'CARTE 6'!F19,'SV18'!AU:AU)</f>
        <v>0</v>
      </c>
    </row>
    <row r="20" spans="2:9" x14ac:dyDescent="0.35">
      <c r="B20" s="245">
        <f t="shared" si="0"/>
        <v>17</v>
      </c>
      <c r="C20" s="208">
        <f>SUMIF('SV18'!$E$3:$E$119,'CARTE 6'!B20,'SV18'!$AU$3:$AU$120)</f>
        <v>90</v>
      </c>
      <c r="D20" s="201">
        <f>COUNTIF('SV18'!$E$3:$E$120,'CARTE 6'!B20)</f>
        <v>4</v>
      </c>
      <c r="F20" s="245">
        <v>48132</v>
      </c>
      <c r="G20" s="208" t="s">
        <v>885</v>
      </c>
      <c r="H20" s="208">
        <f>COUNTIF('SV18'!G:G,'CARTE 6'!F20)</f>
        <v>0</v>
      </c>
      <c r="I20" s="208">
        <f>SUMIF('SV18'!G:G,'CARTE 6'!F20,'SV18'!AU:AU)</f>
        <v>0</v>
      </c>
    </row>
    <row r="21" spans="2:9" x14ac:dyDescent="0.35">
      <c r="B21" s="245">
        <f t="shared" si="0"/>
        <v>18</v>
      </c>
      <c r="C21" s="208">
        <f>SUMIF('SV18'!$E$3:$E$119,'CARTE 6'!B21,'SV18'!$AU$3:$AU$120)</f>
        <v>0</v>
      </c>
      <c r="D21" s="201">
        <f>COUNTIF('SV18'!$E$3:$E$120,'CARTE 6'!B21)</f>
        <v>0</v>
      </c>
      <c r="F21" s="245">
        <v>56162</v>
      </c>
      <c r="G21" s="208" t="s">
        <v>885</v>
      </c>
      <c r="H21" s="208">
        <f>COUNTIF('SV18'!G:G,'CARTE 6'!F21)</f>
        <v>0</v>
      </c>
      <c r="I21" s="208">
        <f>SUMIF('SV18'!G:G,'CARTE 6'!F21,'SV18'!AU:AU)</f>
        <v>0</v>
      </c>
    </row>
    <row r="22" spans="2:9" x14ac:dyDescent="0.35">
      <c r="B22" s="245">
        <f t="shared" si="0"/>
        <v>19</v>
      </c>
      <c r="C22" s="208">
        <f>SUMIF('SV18'!$E$3:$E$119,'CARTE 6'!B22,'SV18'!$AU$3:$AU$120)</f>
        <v>0</v>
      </c>
      <c r="D22" s="201">
        <f>COUNTIF('SV18'!$E$3:$E$120,'CARTE 6'!B22)</f>
        <v>0</v>
      </c>
      <c r="F22" s="245" t="s">
        <v>909</v>
      </c>
      <c r="G22" s="208" t="s">
        <v>885</v>
      </c>
      <c r="H22" s="208">
        <f>COUNTIF('SV18'!G:G,'CARTE 6'!F22)</f>
        <v>0</v>
      </c>
      <c r="I22" s="208">
        <f>SUMIF('SV18'!G:G,'CARTE 6'!F22,'SV18'!AU:AU)</f>
        <v>0</v>
      </c>
    </row>
    <row r="23" spans="2:9" x14ac:dyDescent="0.35">
      <c r="B23" s="245">
        <f t="shared" si="0"/>
        <v>20</v>
      </c>
      <c r="C23" s="208">
        <f>SUMIF('SV18'!$E$3:$E$119,'CARTE 6'!B23,'SV18'!$AU$3:$AU$120)</f>
        <v>0</v>
      </c>
      <c r="D23" s="201">
        <f>COUNTIF('SV18'!$E$3:$E$120,'CARTE 6'!B23)</f>
        <v>0</v>
      </c>
      <c r="F23" s="245">
        <v>65078</v>
      </c>
      <c r="G23" s="208" t="s">
        <v>885</v>
      </c>
      <c r="H23" s="208">
        <f>COUNTIF('SV18'!G:G,'CARTE 6'!F23)</f>
        <v>0</v>
      </c>
      <c r="I23" s="208">
        <f>SUMIF('SV18'!G:G,'CARTE 6'!F23,'SV18'!AU:AU)</f>
        <v>0</v>
      </c>
    </row>
    <row r="24" spans="2:9" x14ac:dyDescent="0.35">
      <c r="B24" s="245">
        <f t="shared" si="0"/>
        <v>21</v>
      </c>
      <c r="C24" s="208">
        <f>SUMIF('SV18'!$E$3:$E$119,'CARTE 6'!B24,'SV18'!$AU$3:$AU$120)</f>
        <v>48</v>
      </c>
      <c r="D24" s="201">
        <f>COUNTIF('SV18'!$E$3:$E$120,'CARTE 6'!B24)</f>
        <v>2</v>
      </c>
      <c r="F24" s="245">
        <v>67191</v>
      </c>
      <c r="G24" s="208" t="s">
        <v>885</v>
      </c>
      <c r="H24" s="208">
        <f>COUNTIF('SV18'!G:G,'CARTE 6'!F24)</f>
        <v>0</v>
      </c>
      <c r="I24" s="208">
        <f>SUMIF('SV18'!G:G,'CARTE 6'!F24,'SV18'!AU:AU)</f>
        <v>0</v>
      </c>
    </row>
    <row r="25" spans="2:9" x14ac:dyDescent="0.35">
      <c r="B25" s="245">
        <f t="shared" si="0"/>
        <v>22</v>
      </c>
      <c r="C25" s="208">
        <f>SUMIF('SV18'!$E$3:$E$119,'CARTE 6'!B25,'SV18'!$AU$3:$AU$120)</f>
        <v>59</v>
      </c>
      <c r="D25" s="201">
        <f>COUNTIF('SV18'!$E$3:$E$120,'CARTE 6'!B25)</f>
        <v>2</v>
      </c>
      <c r="F25" s="245">
        <v>69164</v>
      </c>
      <c r="G25" s="208" t="s">
        <v>885</v>
      </c>
      <c r="H25" s="208">
        <f>COUNTIF('SV18'!G:G,'CARTE 6'!F25)</f>
        <v>0</v>
      </c>
      <c r="I25" s="208">
        <f>SUMIF('SV18'!G:G,'CARTE 6'!F25,'SV18'!AU:AU)</f>
        <v>0</v>
      </c>
    </row>
    <row r="26" spans="2:9" x14ac:dyDescent="0.35">
      <c r="B26" s="245">
        <f t="shared" si="0"/>
        <v>23</v>
      </c>
      <c r="C26" s="208">
        <f>SUMIF('SV18'!$E$3:$E$119,'CARTE 6'!B26,'SV18'!$AU$3:$AU$120)</f>
        <v>0</v>
      </c>
      <c r="D26" s="201">
        <f>COUNTIF('SV18'!$E$3:$E$120,'CARTE 6'!B26)</f>
        <v>0</v>
      </c>
      <c r="F26" s="245">
        <v>81201</v>
      </c>
      <c r="G26" s="208" t="s">
        <v>885</v>
      </c>
      <c r="H26" s="208">
        <f>COUNTIF('SV18'!G:G,'CARTE 6'!F26)</f>
        <v>0</v>
      </c>
      <c r="I26" s="208">
        <f>SUMIF('SV18'!G:G,'CARTE 6'!F26,'SV18'!AU:AU)</f>
        <v>0</v>
      </c>
    </row>
    <row r="27" spans="2:9" x14ac:dyDescent="0.35">
      <c r="B27" s="245">
        <f t="shared" si="0"/>
        <v>24</v>
      </c>
      <c r="C27" s="208">
        <f>SUMIF('SV18'!$E$3:$E$119,'CARTE 6'!B27,'SV18'!$AU$3:$AU$120)</f>
        <v>114</v>
      </c>
      <c r="D27" s="201">
        <f>COUNTIF('SV18'!$E$3:$E$120,'CARTE 6'!B27)</f>
        <v>4</v>
      </c>
      <c r="F27" s="245">
        <v>84110</v>
      </c>
      <c r="G27" s="208" t="s">
        <v>885</v>
      </c>
      <c r="H27" s="208">
        <f>COUNTIF('SV18'!G:G,'CARTE 6'!F27)</f>
        <v>0</v>
      </c>
      <c r="I27" s="208">
        <f>SUMIF('SV18'!G:G,'CARTE 6'!F27,'SV18'!AU:AU)</f>
        <v>0</v>
      </c>
    </row>
    <row r="28" spans="2:9" x14ac:dyDescent="0.35">
      <c r="B28" s="245">
        <f t="shared" si="0"/>
        <v>25</v>
      </c>
      <c r="C28" s="208">
        <f>SUMIF('SV18'!$E$3:$E$119,'CARTE 6'!B28,'SV18'!$AU$3:$AU$120)</f>
        <v>30</v>
      </c>
      <c r="D28" s="201">
        <f>COUNTIF('SV18'!$E$3:$E$120,'CARTE 6'!B28)</f>
        <v>1</v>
      </c>
      <c r="F28" s="245" t="s">
        <v>908</v>
      </c>
      <c r="G28" s="208" t="s">
        <v>885</v>
      </c>
      <c r="H28" s="208">
        <f>COUNTIF('SV18'!G:G,'CARTE 6'!F28)</f>
        <v>0</v>
      </c>
      <c r="I28" s="208">
        <f>SUMIF('SV18'!G:G,'CARTE 6'!F28,'SV18'!AU:AU)</f>
        <v>0</v>
      </c>
    </row>
    <row r="29" spans="2:9" x14ac:dyDescent="0.35">
      <c r="B29" s="245">
        <f t="shared" si="0"/>
        <v>26</v>
      </c>
      <c r="C29" s="208">
        <f>SUMIF('SV18'!$E$3:$E$119,'CARTE 6'!B29,'SV18'!$AU$3:$AU$120)</f>
        <v>42</v>
      </c>
      <c r="D29" s="201">
        <f>COUNTIF('SV18'!$E$3:$E$120,'CARTE 6'!B29)</f>
        <v>1</v>
      </c>
      <c r="F29" s="245">
        <v>86024</v>
      </c>
      <c r="G29" s="208" t="s">
        <v>885</v>
      </c>
      <c r="H29" s="208">
        <f>COUNTIF('SV18'!G:G,'CARTE 6'!F29)</f>
        <v>0</v>
      </c>
      <c r="I29" s="208">
        <f>SUMIF('SV18'!G:G,'CARTE 6'!F29,'SV18'!AU:AU)</f>
        <v>0</v>
      </c>
    </row>
    <row r="30" spans="2:9" x14ac:dyDescent="0.35">
      <c r="B30" s="245">
        <f t="shared" si="0"/>
        <v>27</v>
      </c>
      <c r="C30" s="208">
        <f>SUMIF('SV18'!$E$3:$E$119,'CARTE 6'!B30,'SV18'!$AU$3:$AU$120)</f>
        <v>0</v>
      </c>
      <c r="D30" s="201">
        <f>COUNTIF('SV18'!$E$3:$E$120,'CARTE 6'!B30)</f>
        <v>0</v>
      </c>
      <c r="F30" s="245">
        <v>86203</v>
      </c>
      <c r="G30" s="208" t="s">
        <v>885</v>
      </c>
      <c r="H30" s="208">
        <f>COUNTIF('SV18'!G:G,'CARTE 6'!F30)</f>
        <v>0</v>
      </c>
      <c r="I30" s="208">
        <f>SUMIF('SV18'!G:G,'CARTE 6'!F30,'SV18'!AU:AU)</f>
        <v>0</v>
      </c>
    </row>
    <row r="31" spans="2:9" x14ac:dyDescent="0.35">
      <c r="B31" s="245">
        <f t="shared" si="0"/>
        <v>28</v>
      </c>
      <c r="C31" s="208">
        <f>SUMIF('SV18'!$E$3:$E$119,'CARTE 6'!B31,'SV18'!$AU$3:$AU$120)</f>
        <v>0</v>
      </c>
      <c r="D31" s="201">
        <f>COUNTIF('SV18'!$E$3:$E$120,'CARTE 6'!B31)</f>
        <v>0</v>
      </c>
      <c r="F31" s="245" t="s">
        <v>923</v>
      </c>
      <c r="G31" s="208" t="s">
        <v>881</v>
      </c>
      <c r="H31" s="208">
        <f>COUNTIF('SV18'!G:G,'CARTE 6'!F31)</f>
        <v>1</v>
      </c>
      <c r="I31" s="208">
        <f>SUMIF('SV18'!G:G,'CARTE 6'!F31,'SV18'!AU:AU)</f>
        <v>31</v>
      </c>
    </row>
    <row r="32" spans="2:9" x14ac:dyDescent="0.35">
      <c r="B32" s="245">
        <f t="shared" si="0"/>
        <v>29</v>
      </c>
      <c r="C32" s="208">
        <f>SUMIF('SV18'!$E$3:$E$119,'CARTE 6'!B32,'SV18'!$AU$3:$AU$120)</f>
        <v>353</v>
      </c>
      <c r="D32" s="201">
        <f>COUNTIF('SV18'!$E$3:$E$120,'CARTE 6'!B32)</f>
        <v>7</v>
      </c>
      <c r="F32" s="245" t="s">
        <v>924</v>
      </c>
      <c r="G32" s="208" t="s">
        <v>881</v>
      </c>
      <c r="H32" s="208">
        <f>COUNTIF('SV18'!G:G,'CARTE 6'!F32)</f>
        <v>1</v>
      </c>
      <c r="I32" s="208">
        <f>SUMIF('SV18'!G:G,'CARTE 6'!F32,'SV18'!AU:AU)</f>
        <v>24</v>
      </c>
    </row>
    <row r="33" spans="2:9" x14ac:dyDescent="0.35">
      <c r="B33" s="245">
        <f t="shared" si="0"/>
        <v>30</v>
      </c>
      <c r="C33" s="208">
        <f>SUMIF('SV18'!$E$3:$E$119,'CARTE 6'!B33,'SV18'!$AU$3:$AU$120)</f>
        <v>78</v>
      </c>
      <c r="D33" s="201">
        <f>COUNTIF('SV18'!$E$3:$E$120,'CARTE 6'!B33)</f>
        <v>2</v>
      </c>
      <c r="F33" s="245" t="s">
        <v>925</v>
      </c>
      <c r="G33" s="208" t="s">
        <v>881</v>
      </c>
      <c r="H33" s="208">
        <f>COUNTIF('SV18'!G:G,'CARTE 6'!F33)</f>
        <v>2</v>
      </c>
      <c r="I33" s="208">
        <f>SUMIF('SV18'!G:G,'CARTE 6'!F33,'SV18'!AU:AU)</f>
        <v>64</v>
      </c>
    </row>
    <row r="34" spans="2:9" x14ac:dyDescent="0.35">
      <c r="B34" s="245">
        <f t="shared" si="0"/>
        <v>31</v>
      </c>
      <c r="C34" s="208">
        <f>SUMIF('SV18'!$E$3:$E$119,'CARTE 6'!B34,'SV18'!$AU$3:$AU$120)</f>
        <v>0</v>
      </c>
      <c r="D34" s="201">
        <f>COUNTIF('SV18'!$E$3:$E$120,'CARTE 6'!B34)</f>
        <v>0</v>
      </c>
      <c r="F34" s="245" t="s">
        <v>1201</v>
      </c>
      <c r="G34" s="208" t="s">
        <v>881</v>
      </c>
      <c r="H34" s="208">
        <f>COUNTIF('SV18'!G:G,'CARTE 6'!F34)</f>
        <v>1</v>
      </c>
      <c r="I34" s="208">
        <f>SUMIF('SV18'!G:G,'CARTE 6'!F34,'SV18'!AU:AU)</f>
        <v>31</v>
      </c>
    </row>
    <row r="35" spans="2:9" x14ac:dyDescent="0.35">
      <c r="B35" s="245">
        <f t="shared" si="0"/>
        <v>32</v>
      </c>
      <c r="C35" s="208">
        <f>SUMIF('SV18'!$E$3:$E$119,'CARTE 6'!B35,'SV18'!$AU$3:$AU$120)</f>
        <v>0</v>
      </c>
      <c r="D35" s="201">
        <f>COUNTIF('SV18'!$E$3:$E$120,'CARTE 6'!B35)</f>
        <v>0</v>
      </c>
      <c r="F35" s="245" t="s">
        <v>1203</v>
      </c>
      <c r="G35" s="208" t="s">
        <v>881</v>
      </c>
      <c r="H35" s="208">
        <f>COUNTIF('SV18'!G:G,'CARTE 6'!F35)</f>
        <v>0</v>
      </c>
      <c r="I35" s="208">
        <f>SUMIF('SV18'!G:G,'CARTE 6'!F35,'SV18'!AU:AU)</f>
        <v>0</v>
      </c>
    </row>
    <row r="36" spans="2:9" x14ac:dyDescent="0.35">
      <c r="B36" s="245">
        <f t="shared" si="0"/>
        <v>33</v>
      </c>
      <c r="C36" s="208">
        <f>SUMIF('SV18'!$E$3:$E$119,'CARTE 6'!B36,'SV18'!$AU$3:$AU$120)</f>
        <v>42</v>
      </c>
      <c r="D36" s="201">
        <f>COUNTIF('SV18'!$E$3:$E$120,'CARTE 6'!B36)</f>
        <v>1</v>
      </c>
    </row>
    <row r="37" spans="2:9" x14ac:dyDescent="0.35">
      <c r="B37" s="245">
        <f t="shared" si="0"/>
        <v>34</v>
      </c>
      <c r="C37" s="208">
        <f>SUMIF('SV18'!$E$3:$E$119,'CARTE 6'!B37,'SV18'!$AU$3:$AU$120)</f>
        <v>0</v>
      </c>
      <c r="D37" s="201">
        <f>COUNTIF('SV18'!$E$3:$E$120,'CARTE 6'!B37)</f>
        <v>0</v>
      </c>
    </row>
    <row r="38" spans="2:9" x14ac:dyDescent="0.35">
      <c r="B38" s="245">
        <f t="shared" si="0"/>
        <v>35</v>
      </c>
      <c r="C38" s="208">
        <f>SUMIF('SV18'!$E$3:$E$119,'CARTE 6'!B38,'SV18'!$AU$3:$AU$120)</f>
        <v>64</v>
      </c>
      <c r="D38" s="201">
        <f>COUNTIF('SV18'!$E$3:$E$120,'CARTE 6'!B38)</f>
        <v>2</v>
      </c>
    </row>
    <row r="39" spans="2:9" x14ac:dyDescent="0.35">
      <c r="B39" s="245">
        <f t="shared" si="0"/>
        <v>36</v>
      </c>
      <c r="C39" s="208">
        <f>SUMIF('SV18'!$E$3:$E$119,'CARTE 6'!B39,'SV18'!$AU$3:$AU$120)</f>
        <v>16</v>
      </c>
      <c r="D39" s="201">
        <f>COUNTIF('SV18'!$E$3:$E$120,'CARTE 6'!B39)</f>
        <v>1</v>
      </c>
    </row>
    <row r="40" spans="2:9" x14ac:dyDescent="0.35">
      <c r="B40" s="245">
        <f t="shared" si="0"/>
        <v>37</v>
      </c>
      <c r="C40" s="208">
        <f>SUMIF('SV18'!$E$3:$E$119,'CARTE 6'!B40,'SV18'!$AU$3:$AU$120)</f>
        <v>0</v>
      </c>
      <c r="D40" s="201">
        <f>COUNTIF('SV18'!$E$3:$E$120,'CARTE 6'!B40)</f>
        <v>0</v>
      </c>
    </row>
    <row r="41" spans="2:9" x14ac:dyDescent="0.35">
      <c r="B41" s="245">
        <f t="shared" si="0"/>
        <v>38</v>
      </c>
      <c r="C41" s="208">
        <f>SUMIF('SV18'!$E$3:$E$119,'CARTE 6'!B41,'SV18'!$AU$3:$AU$120)</f>
        <v>146</v>
      </c>
      <c r="D41" s="201">
        <f>COUNTIF('SV18'!$E$3:$E$120,'CARTE 6'!B41)</f>
        <v>4</v>
      </c>
    </row>
    <row r="42" spans="2:9" x14ac:dyDescent="0.35">
      <c r="B42" s="245">
        <f t="shared" si="0"/>
        <v>39</v>
      </c>
      <c r="C42" s="208">
        <f>SUMIF('SV18'!$E$3:$E$119,'CARTE 6'!B42,'SV18'!$AU$3:$AU$120)</f>
        <v>33</v>
      </c>
      <c r="D42" s="201">
        <f>COUNTIF('SV18'!$E$3:$E$120,'CARTE 6'!B42)</f>
        <v>2</v>
      </c>
    </row>
    <row r="43" spans="2:9" x14ac:dyDescent="0.35">
      <c r="B43" s="245">
        <f t="shared" si="0"/>
        <v>40</v>
      </c>
      <c r="C43" s="208">
        <f>SUMIF('SV18'!$E$3:$E$119,'CARTE 6'!B43,'SV18'!$AU$3:$AU$120)</f>
        <v>0</v>
      </c>
      <c r="D43" s="201">
        <f>COUNTIF('SV18'!$E$3:$E$120,'CARTE 6'!B43)</f>
        <v>0</v>
      </c>
    </row>
    <row r="44" spans="2:9" x14ac:dyDescent="0.35">
      <c r="B44" s="245">
        <f t="shared" si="0"/>
        <v>41</v>
      </c>
      <c r="C44" s="208">
        <f>SUMIF('SV18'!$E$3:$E$119,'CARTE 6'!B44,'SV18'!$AU$3:$AU$120)</f>
        <v>0</v>
      </c>
      <c r="D44" s="201">
        <f>COUNTIF('SV18'!$E$3:$E$120,'CARTE 6'!B44)</f>
        <v>0</v>
      </c>
    </row>
    <row r="45" spans="2:9" x14ac:dyDescent="0.35">
      <c r="B45" s="245">
        <f t="shared" si="0"/>
        <v>42</v>
      </c>
      <c r="C45" s="208">
        <f>SUMIF('SV18'!$E$3:$E$119,'CARTE 6'!B45,'SV18'!$AU$3:$AU$120)</f>
        <v>0</v>
      </c>
      <c r="D45" s="201">
        <f>COUNTIF('SV18'!$E$3:$E$120,'CARTE 6'!B45)</f>
        <v>0</v>
      </c>
    </row>
    <row r="46" spans="2:9" x14ac:dyDescent="0.35">
      <c r="B46" s="245">
        <f t="shared" si="0"/>
        <v>43</v>
      </c>
      <c r="C46" s="208">
        <f>SUMIF('SV18'!$E$3:$E$119,'CARTE 6'!B46,'SV18'!$AU$3:$AU$120)</f>
        <v>0</v>
      </c>
      <c r="D46" s="201">
        <f>COUNTIF('SV18'!$E$3:$E$120,'CARTE 6'!B46)</f>
        <v>0</v>
      </c>
    </row>
    <row r="47" spans="2:9" x14ac:dyDescent="0.35">
      <c r="B47" s="245">
        <f t="shared" si="0"/>
        <v>44</v>
      </c>
      <c r="C47" s="208">
        <f>SUMIF('SV18'!$E$3:$E$119,'CARTE 6'!B47,'SV18'!$AU$3:$AU$120)</f>
        <v>190</v>
      </c>
      <c r="D47" s="201">
        <f>COUNTIF('SV18'!$E$3:$E$120,'CARTE 6'!B47)</f>
        <v>5</v>
      </c>
    </row>
    <row r="48" spans="2:9" x14ac:dyDescent="0.35">
      <c r="B48" s="245">
        <f t="shared" si="0"/>
        <v>45</v>
      </c>
      <c r="C48" s="208">
        <f>SUMIF('SV18'!$E$3:$E$119,'CARTE 6'!B48,'SV18'!$AU$3:$AU$120)</f>
        <v>0</v>
      </c>
      <c r="D48" s="201">
        <f>COUNTIF('SV18'!$E$3:$E$120,'CARTE 6'!B48)</f>
        <v>0</v>
      </c>
    </row>
    <row r="49" spans="2:4" x14ac:dyDescent="0.35">
      <c r="B49" s="245">
        <f t="shared" si="0"/>
        <v>46</v>
      </c>
      <c r="C49" s="208">
        <f>SUMIF('SV18'!$E$3:$E$119,'CARTE 6'!B49,'SV18'!$AU$3:$AU$120)</f>
        <v>0</v>
      </c>
      <c r="D49" s="201">
        <f>COUNTIF('SV18'!$E$3:$E$120,'CARTE 6'!B49)</f>
        <v>0</v>
      </c>
    </row>
    <row r="50" spans="2:4" x14ac:dyDescent="0.35">
      <c r="B50" s="245">
        <f t="shared" si="0"/>
        <v>47</v>
      </c>
      <c r="C50" s="208">
        <f>SUMIF('SV18'!$E$3:$E$119,'CARTE 6'!B50,'SV18'!$AU$3:$AU$120)</f>
        <v>0</v>
      </c>
      <c r="D50" s="201">
        <f>COUNTIF('SV18'!$E$3:$E$120,'CARTE 6'!B50)</f>
        <v>0</v>
      </c>
    </row>
    <row r="51" spans="2:4" x14ac:dyDescent="0.35">
      <c r="B51" s="245">
        <f t="shared" si="0"/>
        <v>48</v>
      </c>
      <c r="C51" s="208">
        <f>SUMIF('SV18'!$E$3:$E$119,'CARTE 6'!B51,'SV18'!$AU$3:$AU$120)</f>
        <v>0</v>
      </c>
      <c r="D51" s="201">
        <f>COUNTIF('SV18'!$E$3:$E$120,'CARTE 6'!B51)</f>
        <v>0</v>
      </c>
    </row>
    <row r="52" spans="2:4" x14ac:dyDescent="0.35">
      <c r="B52" s="245">
        <f t="shared" si="0"/>
        <v>49</v>
      </c>
      <c r="C52" s="208">
        <f>SUMIF('SV18'!$E$3:$E$119,'CARTE 6'!B52,'SV18'!$AU$3:$AU$120)</f>
        <v>124</v>
      </c>
      <c r="D52" s="201">
        <f>COUNTIF('SV18'!$E$3:$E$120,'CARTE 6'!B52)</f>
        <v>3</v>
      </c>
    </row>
    <row r="53" spans="2:4" x14ac:dyDescent="0.35">
      <c r="B53" s="245">
        <f t="shared" si="0"/>
        <v>50</v>
      </c>
      <c r="C53" s="208">
        <f>SUMIF('SV18'!$E$3:$E$119,'CARTE 6'!B53,'SV18'!$AU$3:$AU$120)</f>
        <v>56</v>
      </c>
      <c r="D53" s="201">
        <f>COUNTIF('SV18'!$E$3:$E$120,'CARTE 6'!B53)</f>
        <v>2</v>
      </c>
    </row>
    <row r="54" spans="2:4" x14ac:dyDescent="0.35">
      <c r="B54" s="245">
        <f t="shared" si="0"/>
        <v>51</v>
      </c>
      <c r="C54" s="208">
        <f>SUMIF('SV18'!$E$3:$E$119,'CARTE 6'!B54,'SV18'!$AU$3:$AU$120)</f>
        <v>0</v>
      </c>
      <c r="D54" s="201">
        <f>COUNTIF('SV18'!$E$3:$E$120,'CARTE 6'!B54)</f>
        <v>0</v>
      </c>
    </row>
    <row r="55" spans="2:4" x14ac:dyDescent="0.35">
      <c r="B55" s="245">
        <f t="shared" si="0"/>
        <v>52</v>
      </c>
      <c r="C55" s="208">
        <f>SUMIF('SV18'!$E$3:$E$119,'CARTE 6'!B55,'SV18'!$AU$3:$AU$120)</f>
        <v>42</v>
      </c>
      <c r="D55" s="201">
        <f>COUNTIF('SV18'!$E$3:$E$120,'CARTE 6'!B55)</f>
        <v>1</v>
      </c>
    </row>
    <row r="56" spans="2:4" x14ac:dyDescent="0.35">
      <c r="B56" s="245">
        <f t="shared" si="0"/>
        <v>53</v>
      </c>
      <c r="C56" s="208">
        <f>SUMIF('SV18'!$E$3:$E$119,'CARTE 6'!B56,'SV18'!$AU$3:$AU$120)</f>
        <v>0</v>
      </c>
      <c r="D56" s="201">
        <f>COUNTIF('SV18'!$E$3:$E$120,'CARTE 6'!B56)</f>
        <v>0</v>
      </c>
    </row>
    <row r="57" spans="2:4" x14ac:dyDescent="0.35">
      <c r="B57" s="245">
        <f t="shared" si="0"/>
        <v>54</v>
      </c>
      <c r="C57" s="208">
        <f>SUMIF('SV18'!$E$3:$E$119,'CARTE 6'!B57,'SV18'!$AU$3:$AU$120)</f>
        <v>0</v>
      </c>
      <c r="D57" s="201">
        <f>COUNTIF('SV18'!$E$3:$E$120,'CARTE 6'!B57)</f>
        <v>0</v>
      </c>
    </row>
    <row r="58" spans="2:4" x14ac:dyDescent="0.35">
      <c r="B58" s="245">
        <f t="shared" si="0"/>
        <v>55</v>
      </c>
      <c r="C58" s="208">
        <f>SUMIF('SV18'!$E$3:$E$119,'CARTE 6'!B58,'SV18'!$AU$3:$AU$120)</f>
        <v>0</v>
      </c>
      <c r="D58" s="201">
        <f>COUNTIF('SV18'!$E$3:$E$120,'CARTE 6'!B58)</f>
        <v>0</v>
      </c>
    </row>
    <row r="59" spans="2:4" x14ac:dyDescent="0.35">
      <c r="B59" s="245">
        <f t="shared" si="0"/>
        <v>56</v>
      </c>
      <c r="C59" s="208">
        <f>SUMIF('SV18'!$E$3:$E$119,'CARTE 6'!B59,'SV18'!$AU$3:$AU$120)</f>
        <v>184</v>
      </c>
      <c r="D59" s="201">
        <f>COUNTIF('SV18'!$E$3:$E$120,'CARTE 6'!B59)</f>
        <v>5</v>
      </c>
    </row>
    <row r="60" spans="2:4" x14ac:dyDescent="0.35">
      <c r="B60" s="245">
        <f t="shared" si="0"/>
        <v>57</v>
      </c>
      <c r="C60" s="208">
        <f>SUMIF('SV18'!$E$3:$E$119,'CARTE 6'!B60,'SV18'!$AU$3:$AU$120)</f>
        <v>0</v>
      </c>
      <c r="D60" s="201">
        <f>COUNTIF('SV18'!$E$3:$E$120,'CARTE 6'!B60)</f>
        <v>0</v>
      </c>
    </row>
    <row r="61" spans="2:4" x14ac:dyDescent="0.35">
      <c r="B61" s="245">
        <f t="shared" si="0"/>
        <v>58</v>
      </c>
      <c r="C61" s="208">
        <f>SUMIF('SV18'!$E$3:$E$119,'CARTE 6'!B61,'SV18'!$AU$3:$AU$120)</f>
        <v>21</v>
      </c>
      <c r="D61" s="201">
        <f>COUNTIF('SV18'!$E$3:$E$120,'CARTE 6'!B61)</f>
        <v>1</v>
      </c>
    </row>
    <row r="62" spans="2:4" x14ac:dyDescent="0.35">
      <c r="B62" s="245">
        <f t="shared" si="0"/>
        <v>59</v>
      </c>
      <c r="C62" s="208">
        <f>SUMIF('SV18'!$E$3:$E$119,'CARTE 6'!B62,'SV18'!$AU$3:$AU$120)</f>
        <v>31</v>
      </c>
      <c r="D62" s="201">
        <f>COUNTIF('SV18'!$E$3:$E$120,'CARTE 6'!B62)</f>
        <v>1</v>
      </c>
    </row>
    <row r="63" spans="2:4" x14ac:dyDescent="0.35">
      <c r="B63" s="245">
        <f t="shared" si="0"/>
        <v>60</v>
      </c>
      <c r="C63" s="208">
        <f>SUMIF('SV18'!$E$3:$E$119,'CARTE 6'!B63,'SV18'!$AU$3:$AU$120)</f>
        <v>0</v>
      </c>
      <c r="D63" s="201">
        <f>COUNTIF('SV18'!$E$3:$E$120,'CARTE 6'!B63)</f>
        <v>0</v>
      </c>
    </row>
    <row r="64" spans="2:4" x14ac:dyDescent="0.35">
      <c r="B64" s="245">
        <f t="shared" si="0"/>
        <v>61</v>
      </c>
      <c r="C64" s="208">
        <f>SUMIF('SV18'!$E$3:$E$119,'CARTE 6'!B64,'SV18'!$AU$3:$AU$120)</f>
        <v>56</v>
      </c>
      <c r="D64" s="201">
        <f>COUNTIF('SV18'!$E$3:$E$120,'CARTE 6'!B64)</f>
        <v>1</v>
      </c>
    </row>
    <row r="65" spans="2:4" x14ac:dyDescent="0.35">
      <c r="B65" s="245">
        <f t="shared" si="0"/>
        <v>62</v>
      </c>
      <c r="C65" s="208">
        <f>SUMIF('SV18'!$E$3:$E$119,'CARTE 6'!B65,'SV18'!$AU$3:$AU$120)</f>
        <v>0</v>
      </c>
      <c r="D65" s="201">
        <f>COUNTIF('SV18'!$E$3:$E$120,'CARTE 6'!B65)</f>
        <v>0</v>
      </c>
    </row>
    <row r="66" spans="2:4" x14ac:dyDescent="0.35">
      <c r="B66" s="245">
        <f t="shared" si="0"/>
        <v>63</v>
      </c>
      <c r="C66" s="208">
        <f>SUMIF('SV18'!$E$3:$E$119,'CARTE 6'!B66,'SV18'!$AU$3:$AU$120)</f>
        <v>142</v>
      </c>
      <c r="D66" s="201">
        <f>COUNTIF('SV18'!$E$3:$E$120,'CARTE 6'!B66)</f>
        <v>4</v>
      </c>
    </row>
    <row r="67" spans="2:4" x14ac:dyDescent="0.35">
      <c r="B67" s="245">
        <f t="shared" si="0"/>
        <v>64</v>
      </c>
      <c r="C67" s="208">
        <f>SUMIF('SV18'!$E$3:$E$119,'CARTE 6'!B67,'SV18'!$AU$3:$AU$120)</f>
        <v>0</v>
      </c>
      <c r="D67" s="201">
        <f>COUNTIF('SV18'!$E$3:$E$120,'CARTE 6'!B67)</f>
        <v>0</v>
      </c>
    </row>
    <row r="68" spans="2:4" x14ac:dyDescent="0.35">
      <c r="B68" s="245">
        <f t="shared" si="0"/>
        <v>65</v>
      </c>
      <c r="C68" s="208">
        <f>SUMIF('SV18'!$E$3:$E$119,'CARTE 6'!B68,'SV18'!$AU$3:$AU$120)</f>
        <v>0</v>
      </c>
      <c r="D68" s="201">
        <f>COUNTIF('SV18'!$E$3:$E$120,'CARTE 6'!B68)</f>
        <v>0</v>
      </c>
    </row>
    <row r="69" spans="2:4" x14ac:dyDescent="0.35">
      <c r="B69" s="245">
        <f t="shared" si="0"/>
        <v>66</v>
      </c>
      <c r="C69" s="208">
        <f>SUMIF('SV18'!$E$3:$E$119,'CARTE 6'!B69,'SV18'!$AU$3:$AU$120)</f>
        <v>148</v>
      </c>
      <c r="D69" s="201">
        <f>COUNTIF('SV18'!$E$3:$E$120,'CARTE 6'!B69)</f>
        <v>5</v>
      </c>
    </row>
    <row r="70" spans="2:4" x14ac:dyDescent="0.35">
      <c r="B70" s="245">
        <f t="shared" ref="B70:B102" si="1">B69+1</f>
        <v>67</v>
      </c>
      <c r="C70" s="208">
        <f>SUMIF('SV18'!$E$3:$E$119,'CARTE 6'!B70,'SV18'!$AU$3:$AU$120)</f>
        <v>24</v>
      </c>
      <c r="D70" s="201">
        <f>COUNTIF('SV18'!$E$3:$E$120,'CARTE 6'!B70)</f>
        <v>1</v>
      </c>
    </row>
    <row r="71" spans="2:4" x14ac:dyDescent="0.35">
      <c r="B71" s="245">
        <f t="shared" si="1"/>
        <v>68</v>
      </c>
      <c r="C71" s="208">
        <f>SUMIF('SV18'!$E$3:$E$119,'CARTE 6'!B71,'SV18'!$AU$3:$AU$120)</f>
        <v>0</v>
      </c>
      <c r="D71" s="201">
        <f>COUNTIF('SV18'!$E$3:$E$120,'CARTE 6'!B71)</f>
        <v>0</v>
      </c>
    </row>
    <row r="72" spans="2:4" x14ac:dyDescent="0.35">
      <c r="B72" s="245">
        <f t="shared" si="1"/>
        <v>69</v>
      </c>
      <c r="C72" s="208">
        <f>SUMIF('SV18'!$E$3:$E$119,'CARTE 6'!B72,'SV18'!$AU$3:$AU$120)</f>
        <v>64</v>
      </c>
      <c r="D72" s="201">
        <f>COUNTIF('SV18'!$E$3:$E$120,'CARTE 6'!B72)</f>
        <v>2</v>
      </c>
    </row>
    <row r="73" spans="2:4" x14ac:dyDescent="0.35">
      <c r="B73" s="245">
        <f t="shared" si="1"/>
        <v>70</v>
      </c>
      <c r="C73" s="208">
        <f>SUMIF('SV18'!$E$3:$E$119,'CARTE 6'!B73,'SV18'!$AU$3:$AU$120)</f>
        <v>36</v>
      </c>
      <c r="D73" s="201">
        <f>COUNTIF('SV18'!$E$3:$E$120,'CARTE 6'!B73)</f>
        <v>1</v>
      </c>
    </row>
    <row r="74" spans="2:4" x14ac:dyDescent="0.35">
      <c r="B74" s="245">
        <f t="shared" si="1"/>
        <v>71</v>
      </c>
      <c r="C74" s="208">
        <f>SUMIF('SV18'!$E$3:$E$119,'CARTE 6'!B74,'SV18'!$AU$3:$AU$120)</f>
        <v>18</v>
      </c>
      <c r="D74" s="201">
        <f>COUNTIF('SV18'!$E$3:$E$120,'CARTE 6'!B74)</f>
        <v>1</v>
      </c>
    </row>
    <row r="75" spans="2:4" x14ac:dyDescent="0.35">
      <c r="B75" s="245">
        <f t="shared" si="1"/>
        <v>72</v>
      </c>
      <c r="C75" s="208">
        <f>SUMIF('SV18'!$E$3:$E$119,'CARTE 6'!B75,'SV18'!$AU$3:$AU$120)</f>
        <v>30</v>
      </c>
      <c r="D75" s="201">
        <f>COUNTIF('SV18'!$E$3:$E$120,'CARTE 6'!B75)</f>
        <v>1</v>
      </c>
    </row>
    <row r="76" spans="2:4" x14ac:dyDescent="0.35">
      <c r="B76" s="245">
        <f t="shared" si="1"/>
        <v>73</v>
      </c>
      <c r="C76" s="208">
        <f>SUMIF('SV18'!$E$3:$E$119,'CARTE 6'!B76,'SV18'!$AU$3:$AU$120)</f>
        <v>108</v>
      </c>
      <c r="D76" s="201">
        <f>COUNTIF('SV18'!$E$3:$E$120,'CARTE 6'!B76)</f>
        <v>3</v>
      </c>
    </row>
    <row r="77" spans="2:4" x14ac:dyDescent="0.35">
      <c r="B77" s="245">
        <f t="shared" si="1"/>
        <v>74</v>
      </c>
      <c r="C77" s="208">
        <f>SUMIF('SV18'!$E$3:$E$119,'CARTE 6'!B77,'SV18'!$AU$3:$AU$120)</f>
        <v>84</v>
      </c>
      <c r="D77" s="201">
        <f>COUNTIF('SV18'!$E$3:$E$120,'CARTE 6'!B77)</f>
        <v>3</v>
      </c>
    </row>
    <row r="78" spans="2:4" x14ac:dyDescent="0.35">
      <c r="B78" s="245">
        <f t="shared" si="1"/>
        <v>75</v>
      </c>
      <c r="C78" s="208">
        <f>SUMIF('SV18'!$E$3:$E$119,'CARTE 6'!B78,'SV18'!$AU$3:$AU$120)</f>
        <v>0</v>
      </c>
      <c r="D78" s="201">
        <f>COUNTIF('SV18'!$E$3:$E$120,'CARTE 6'!B78)</f>
        <v>0</v>
      </c>
    </row>
    <row r="79" spans="2:4" x14ac:dyDescent="0.35">
      <c r="B79" s="245">
        <f t="shared" si="1"/>
        <v>76</v>
      </c>
      <c r="C79" s="208">
        <f>SUMIF('SV18'!$E$3:$E$119,'CARTE 6'!B79,'SV18'!$AU$3:$AU$120)</f>
        <v>42</v>
      </c>
      <c r="D79" s="201">
        <f>COUNTIF('SV18'!$E$3:$E$120,'CARTE 6'!B79)</f>
        <v>1</v>
      </c>
    </row>
    <row r="80" spans="2:4" x14ac:dyDescent="0.35">
      <c r="B80" s="245">
        <f t="shared" si="1"/>
        <v>77</v>
      </c>
      <c r="C80" s="208">
        <f>SUMIF('SV18'!$E$3:$E$119,'CARTE 6'!B80,'SV18'!$AU$3:$AU$120)</f>
        <v>0</v>
      </c>
      <c r="D80" s="201">
        <f>COUNTIF('SV18'!$E$3:$E$120,'CARTE 6'!B80)</f>
        <v>0</v>
      </c>
    </row>
    <row r="81" spans="2:4" x14ac:dyDescent="0.35">
      <c r="B81" s="245">
        <f t="shared" si="1"/>
        <v>78</v>
      </c>
      <c r="C81" s="208">
        <f>SUMIF('SV18'!$E$3:$E$119,'CARTE 6'!B81,'SV18'!$AU$3:$AU$120)</f>
        <v>0</v>
      </c>
      <c r="D81" s="201">
        <f>COUNTIF('SV18'!$E$3:$E$120,'CARTE 6'!B81)</f>
        <v>0</v>
      </c>
    </row>
    <row r="82" spans="2:4" x14ac:dyDescent="0.35">
      <c r="B82" s="245">
        <f t="shared" si="1"/>
        <v>79</v>
      </c>
      <c r="C82" s="208">
        <f>SUMIF('SV18'!$E$3:$E$119,'CARTE 6'!B82,'SV18'!$AU$3:$AU$120)</f>
        <v>52</v>
      </c>
      <c r="D82" s="201">
        <f>COUNTIF('SV18'!$E$3:$E$120,'CARTE 6'!B82)</f>
        <v>2</v>
      </c>
    </row>
    <row r="83" spans="2:4" x14ac:dyDescent="0.35">
      <c r="B83" s="245">
        <f t="shared" si="1"/>
        <v>80</v>
      </c>
      <c r="C83" s="208">
        <f>SUMIF('SV18'!$E$3:$E$119,'CARTE 6'!B83,'SV18'!$AU$3:$AU$120)</f>
        <v>0</v>
      </c>
      <c r="D83" s="201">
        <f>COUNTIF('SV18'!$E$3:$E$120,'CARTE 6'!B83)</f>
        <v>0</v>
      </c>
    </row>
    <row r="84" spans="2:4" x14ac:dyDescent="0.35">
      <c r="B84" s="245">
        <f t="shared" si="1"/>
        <v>81</v>
      </c>
      <c r="C84" s="208">
        <f>SUMIF('SV18'!$E$3:$E$119,'CARTE 6'!B84,'SV18'!$AU$3:$AU$120)</f>
        <v>18</v>
      </c>
      <c r="D84" s="201">
        <f>COUNTIF('SV18'!$E$3:$E$120,'CARTE 6'!B84)</f>
        <v>1</v>
      </c>
    </row>
    <row r="85" spans="2:4" x14ac:dyDescent="0.35">
      <c r="B85" s="245">
        <f t="shared" si="1"/>
        <v>82</v>
      </c>
      <c r="C85" s="208">
        <f>SUMIF('SV18'!$E$3:$E$119,'CARTE 6'!B85,'SV18'!$AU$3:$AU$120)</f>
        <v>0</v>
      </c>
      <c r="D85" s="201">
        <f>COUNTIF('SV18'!$E$3:$E$120,'CARTE 6'!B85)</f>
        <v>0</v>
      </c>
    </row>
    <row r="86" spans="2:4" x14ac:dyDescent="0.35">
      <c r="B86" s="245">
        <f t="shared" si="1"/>
        <v>83</v>
      </c>
      <c r="C86" s="208">
        <f>SUMIF('SV18'!$E$3:$E$119,'CARTE 6'!B86,'SV18'!$AU$3:$AU$120)</f>
        <v>0</v>
      </c>
      <c r="D86" s="201">
        <f>COUNTIF('SV18'!$E$3:$E$120,'CARTE 6'!B86)</f>
        <v>0</v>
      </c>
    </row>
    <row r="87" spans="2:4" x14ac:dyDescent="0.35">
      <c r="B87" s="245">
        <f t="shared" si="1"/>
        <v>84</v>
      </c>
      <c r="C87" s="208">
        <f>SUMIF('SV18'!$E$3:$E$119,'CARTE 6'!B87,'SV18'!$AU$3:$AU$120)</f>
        <v>42</v>
      </c>
      <c r="D87" s="201">
        <f>COUNTIF('SV18'!$E$3:$E$120,'CARTE 6'!B87)</f>
        <v>1</v>
      </c>
    </row>
    <row r="88" spans="2:4" x14ac:dyDescent="0.35">
      <c r="B88" s="245">
        <f t="shared" si="1"/>
        <v>85</v>
      </c>
      <c r="C88" s="208">
        <f>SUMIF('SV18'!$E$3:$E$119,'CARTE 6'!B88,'SV18'!$AU$3:$AU$120)</f>
        <v>176</v>
      </c>
      <c r="D88" s="201">
        <f>COUNTIF('SV18'!$E$3:$E$120,'CARTE 6'!B88)</f>
        <v>5</v>
      </c>
    </row>
    <row r="89" spans="2:4" x14ac:dyDescent="0.35">
      <c r="B89" s="245">
        <f t="shared" si="1"/>
        <v>86</v>
      </c>
      <c r="C89" s="208">
        <f>SUMIF('SV18'!$E$3:$E$119,'CARTE 6'!B89,'SV18'!$AU$3:$AU$120)</f>
        <v>32</v>
      </c>
      <c r="D89" s="201">
        <f>COUNTIF('SV18'!$E$3:$E$120,'CARTE 6'!B89)</f>
        <v>1</v>
      </c>
    </row>
    <row r="90" spans="2:4" x14ac:dyDescent="0.35">
      <c r="B90" s="245">
        <f t="shared" si="1"/>
        <v>87</v>
      </c>
      <c r="C90" s="208">
        <f>SUMIF('SV18'!$E$3:$E$119,'CARTE 6'!B90,'SV18'!$AU$3:$AU$120)</f>
        <v>0</v>
      </c>
      <c r="D90" s="201">
        <f>COUNTIF('SV18'!$E$3:$E$120,'CARTE 6'!B90)</f>
        <v>0</v>
      </c>
    </row>
    <row r="91" spans="2:4" x14ac:dyDescent="0.35">
      <c r="B91" s="245">
        <f t="shared" si="1"/>
        <v>88</v>
      </c>
      <c r="C91" s="208">
        <f>SUMIF('SV18'!$E$3:$E$119,'CARTE 6'!B91,'SV18'!$AU$3:$AU$120)</f>
        <v>111</v>
      </c>
      <c r="D91" s="201">
        <f>COUNTIF('SV18'!$E$3:$E$120,'CARTE 6'!B91)</f>
        <v>3</v>
      </c>
    </row>
    <row r="92" spans="2:4" x14ac:dyDescent="0.35">
      <c r="B92" s="245">
        <f t="shared" si="1"/>
        <v>89</v>
      </c>
      <c r="C92" s="208">
        <f>SUMIF('SV18'!$E$3:$E$119,'CARTE 6'!B92,'SV18'!$AU$3:$AU$120)</f>
        <v>0</v>
      </c>
      <c r="D92" s="201">
        <f>COUNTIF('SV18'!$E$3:$E$120,'CARTE 6'!B92)</f>
        <v>0</v>
      </c>
    </row>
    <row r="93" spans="2:4" x14ac:dyDescent="0.35">
      <c r="B93" s="245">
        <f t="shared" si="1"/>
        <v>90</v>
      </c>
      <c r="C93" s="208">
        <f>SUMIF('SV18'!$E$3:$E$119,'CARTE 6'!B93,'SV18'!$AU$3:$AU$120)</f>
        <v>0</v>
      </c>
      <c r="D93" s="201">
        <f>COUNTIF('SV18'!$E$3:$E$120,'CARTE 6'!B93)</f>
        <v>0</v>
      </c>
    </row>
    <row r="94" spans="2:4" x14ac:dyDescent="0.35">
      <c r="B94" s="245">
        <f t="shared" si="1"/>
        <v>91</v>
      </c>
      <c r="C94" s="208">
        <f>SUMIF('SV18'!$E$3:$E$119,'CARTE 6'!B94,'SV18'!$AU$3:$AU$120)</f>
        <v>30</v>
      </c>
      <c r="D94" s="201">
        <f>COUNTIF('SV18'!$E$3:$E$120,'CARTE 6'!B94)</f>
        <v>1</v>
      </c>
    </row>
    <row r="95" spans="2:4" x14ac:dyDescent="0.35">
      <c r="B95" s="245">
        <f t="shared" si="1"/>
        <v>92</v>
      </c>
      <c r="C95" s="208">
        <f>SUMIF('SV18'!$E$3:$E$119,'CARTE 6'!B95,'SV18'!$AU$3:$AU$120)</f>
        <v>0</v>
      </c>
      <c r="D95" s="201">
        <f>COUNTIF('SV18'!$E$3:$E$120,'CARTE 6'!B95)</f>
        <v>0</v>
      </c>
    </row>
    <row r="96" spans="2:4" x14ac:dyDescent="0.35">
      <c r="B96" s="245">
        <f t="shared" si="1"/>
        <v>93</v>
      </c>
      <c r="C96" s="208">
        <f>SUMIF('SV18'!$E$3:$E$119,'CARTE 6'!B96,'SV18'!$AU$3:$AU$120)</f>
        <v>0</v>
      </c>
      <c r="D96" s="201">
        <f>COUNTIF('SV18'!$E$3:$E$120,'CARTE 6'!B96)</f>
        <v>0</v>
      </c>
    </row>
    <row r="97" spans="2:4" x14ac:dyDescent="0.35">
      <c r="B97" s="245">
        <f t="shared" si="1"/>
        <v>94</v>
      </c>
      <c r="C97" s="208">
        <f>SUMIF('SV18'!$E$3:$E$119,'CARTE 6'!B97,'SV18'!$AU$3:$AU$120)</f>
        <v>0</v>
      </c>
      <c r="D97" s="201">
        <f>COUNTIF('SV18'!$E$3:$E$120,'CARTE 6'!B97)</f>
        <v>0</v>
      </c>
    </row>
    <row r="98" spans="2:4" x14ac:dyDescent="0.35">
      <c r="B98" s="245">
        <f t="shared" si="1"/>
        <v>95</v>
      </c>
      <c r="C98" s="208">
        <f>SUMIF('SV18'!$E$3:$E$119,'CARTE 6'!B98,'SV18'!$AU$3:$AU$120)</f>
        <v>0</v>
      </c>
      <c r="D98" s="201">
        <f>COUNTIF('SV18'!$E$3:$E$120,'CARTE 6'!B98)</f>
        <v>0</v>
      </c>
    </row>
    <row r="99" spans="2:4" x14ac:dyDescent="0.35">
      <c r="B99" s="245">
        <f t="shared" si="1"/>
        <v>96</v>
      </c>
      <c r="C99" s="208">
        <f>SUMIF('SV18'!$E$3:$E$119,'CARTE 6'!B99,'SV18'!$AU$3:$AU$120)</f>
        <v>0</v>
      </c>
      <c r="D99" s="201">
        <f>COUNTIF('SV18'!$E$3:$E$120,'CARTE 6'!B99)</f>
        <v>0</v>
      </c>
    </row>
    <row r="100" spans="2:4" x14ac:dyDescent="0.35">
      <c r="B100" s="245">
        <f t="shared" si="1"/>
        <v>97</v>
      </c>
      <c r="C100" s="208">
        <f>SUMIF('SV18'!$E$3:$E$119,'CARTE 6'!B100,'SV18'!$AU$3:$AU$120)</f>
        <v>30</v>
      </c>
      <c r="D100" s="201">
        <f>COUNTIF('SV18'!$E$3:$E$120,'CARTE 6'!B100)</f>
        <v>1</v>
      </c>
    </row>
    <row r="101" spans="2:4" x14ac:dyDescent="0.35">
      <c r="B101" s="245">
        <f t="shared" si="1"/>
        <v>98</v>
      </c>
      <c r="C101" s="208">
        <f>SUMIF('SV18'!$E$3:$E$119,'CARTE 6'!B101,'SV18'!$AU$3:$AU$120)</f>
        <v>0</v>
      </c>
      <c r="D101" s="201">
        <f>COUNTIF('SV18'!$E$3:$E$120,'CARTE 6'!B101)</f>
        <v>0</v>
      </c>
    </row>
    <row r="102" spans="2:4" x14ac:dyDescent="0.35">
      <c r="B102" s="245">
        <f t="shared" si="1"/>
        <v>99</v>
      </c>
      <c r="C102" s="208">
        <f>SUMIF('SV18'!$E$3:$E$119,'CARTE 6'!B102,'SV18'!$AU$3:$AU$120)</f>
        <v>0</v>
      </c>
      <c r="D102" s="201">
        <f>COUNTIF('SV18'!$E$3:$E$120,'CARTE 6'!B102)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B7AD6-359B-4EF5-BCFD-DE2CE89FD1AC}">
  <dimension ref="A1:C29"/>
  <sheetViews>
    <sheetView workbookViewId="0">
      <selection activeCell="C2" sqref="A2:C29"/>
    </sheetView>
  </sheetViews>
  <sheetFormatPr baseColWidth="10" defaultRowHeight="14.5" x14ac:dyDescent="0.35"/>
  <cols>
    <col min="1" max="1" width="10.90625" style="211"/>
    <col min="2" max="2" width="17.7265625" customWidth="1"/>
    <col min="3" max="3" width="16.08984375" customWidth="1"/>
  </cols>
  <sheetData>
    <row r="1" spans="1:3" x14ac:dyDescent="0.35">
      <c r="A1" s="216" t="s">
        <v>921</v>
      </c>
    </row>
    <row r="2" spans="1:3" x14ac:dyDescent="0.35">
      <c r="A2" s="245"/>
      <c r="B2" s="208" t="s">
        <v>900</v>
      </c>
      <c r="C2" s="208" t="s">
        <v>899</v>
      </c>
    </row>
    <row r="3" spans="1:3" x14ac:dyDescent="0.35">
      <c r="A3" s="245" t="s">
        <v>905</v>
      </c>
      <c r="B3" s="208">
        <f>COUNTIF(CAMPS18!AJ2:AJ166,'CARTE 7'!A3)</f>
        <v>1</v>
      </c>
      <c r="C3" s="208">
        <f>SUMIF(CAMPS18!AJ2:AJ166,'CARTE 7'!A3,CAMPS18!R2:R169)</f>
        <v>16</v>
      </c>
    </row>
    <row r="4" spans="1:3" x14ac:dyDescent="0.35">
      <c r="A4" s="245" t="s">
        <v>906</v>
      </c>
      <c r="B4" s="208">
        <f>COUNTIF(CAMPS18!AJ3:AJ167,'CARTE 7'!A4)</f>
        <v>1</v>
      </c>
      <c r="C4" s="208">
        <f>SUMIF(CAMPS18!AJ3:AJ167,'CARTE 7'!A4,CAMPS18!R3:R170)</f>
        <v>79</v>
      </c>
    </row>
    <row r="5" spans="1:3" x14ac:dyDescent="0.35">
      <c r="A5" s="245" t="s">
        <v>907</v>
      </c>
      <c r="B5" s="208">
        <f>COUNTIF(CAMPS18!AJ4:AJ168,'CARTE 7'!A5)</f>
        <v>0</v>
      </c>
      <c r="C5" s="208">
        <f>SUMIF(CAMPS18!AJ4:AJ168,'CARTE 7'!A5,CAMPS18!R4:R171)</f>
        <v>0</v>
      </c>
    </row>
    <row r="6" spans="1:3" x14ac:dyDescent="0.35">
      <c r="A6" s="245" t="s">
        <v>903</v>
      </c>
      <c r="B6" s="208">
        <f>COUNTIF(CAMPS18!AJ5:AJ169,'CARTE 7'!A6)</f>
        <v>0</v>
      </c>
      <c r="C6" s="208">
        <f>SUMIF(CAMPS18!AJ5:AJ169,'CARTE 7'!A6,CAMPS18!R5:R172)</f>
        <v>0</v>
      </c>
    </row>
    <row r="7" spans="1:3" x14ac:dyDescent="0.35">
      <c r="A7" s="245" t="s">
        <v>904</v>
      </c>
      <c r="B7" s="208">
        <f>COUNTIF(CAMPS18!AJ6:AJ170,'CARTE 7'!A7)</f>
        <v>1</v>
      </c>
      <c r="C7" s="208">
        <f>SUMIF(CAMPS18!AJ6:AJ170,'CARTE 7'!A7,CAMPS18!R6:R173)</f>
        <v>45</v>
      </c>
    </row>
    <row r="8" spans="1:3" x14ac:dyDescent="0.35">
      <c r="A8" s="245">
        <v>10029</v>
      </c>
      <c r="B8" s="208">
        <f>COUNTIF(CAMPS18!AJ7:AJ171,'CARTE 7'!A8)</f>
        <v>3</v>
      </c>
      <c r="C8" s="208">
        <f>SUMIF(CAMPS18!AJ7:AJ171,'CARTE 7'!A8,CAMPS18!R7:R174)</f>
        <v>71</v>
      </c>
    </row>
    <row r="9" spans="1:3" x14ac:dyDescent="0.35">
      <c r="A9" s="245" t="s">
        <v>902</v>
      </c>
      <c r="B9" s="208">
        <f>COUNTIF(CAMPS18!AJ8:AJ172,'CARTE 7'!A9)</f>
        <v>6</v>
      </c>
      <c r="C9" s="208">
        <f>SUMIF(CAMPS18!AJ8:AJ172,'CARTE 7'!A9,CAMPS18!R8:R175)</f>
        <v>108</v>
      </c>
    </row>
    <row r="10" spans="1:3" x14ac:dyDescent="0.35">
      <c r="A10" s="245">
        <v>13001</v>
      </c>
      <c r="B10" s="208">
        <f>COUNTIF(CAMPS18!AJ9:AJ173,'CARTE 7'!A10)</f>
        <v>0</v>
      </c>
      <c r="C10" s="208">
        <f>SUMIF(CAMPS18!AJ9:AJ173,'CARTE 7'!A10,CAMPS18!R9:R176)</f>
        <v>0</v>
      </c>
    </row>
    <row r="11" spans="1:3" x14ac:dyDescent="0.35">
      <c r="A11" s="245">
        <v>17140</v>
      </c>
      <c r="B11" s="208">
        <f>COUNTIF(CAMPS18!AJ10:AJ174,'CARTE 7'!A11)</f>
        <v>0</v>
      </c>
      <c r="C11" s="208">
        <f>SUMIF(CAMPS18!AJ10:AJ174,'CARTE 7'!A11,CAMPS18!R10:R177)</f>
        <v>0</v>
      </c>
    </row>
    <row r="12" spans="1:3" x14ac:dyDescent="0.35">
      <c r="A12" s="245">
        <v>21017</v>
      </c>
      <c r="B12" s="208">
        <f>COUNTIF(CAMPS18!AJ11:AJ175,'CARTE 7'!A12)</f>
        <v>3</v>
      </c>
      <c r="C12" s="208">
        <f>SUMIF(CAMPS18!AJ11:AJ175,'CARTE 7'!A12,CAMPS18!R11:R178)</f>
        <v>180</v>
      </c>
    </row>
    <row r="13" spans="1:3" x14ac:dyDescent="0.35">
      <c r="A13" s="245">
        <v>24183</v>
      </c>
      <c r="B13" s="208">
        <f>COUNTIF(CAMPS18!AJ12:AJ176,'CARTE 7'!A13)</f>
        <v>1</v>
      </c>
      <c r="C13" s="208">
        <f>SUMIF(CAMPS18!AJ12:AJ176,'CARTE 7'!A13,CAMPS18!R12:R179)</f>
        <v>75</v>
      </c>
    </row>
    <row r="14" spans="1:3" x14ac:dyDescent="0.35">
      <c r="A14" s="245" t="s">
        <v>918</v>
      </c>
      <c r="B14" s="208">
        <f>COUNTIF(CAMPS18!AJ13:AJ177,'CARTE 7'!A14)</f>
        <v>1</v>
      </c>
      <c r="C14" s="208">
        <f>SUMIF(CAMPS18!AJ13:AJ177,'CARTE 7'!A14,CAMPS18!R13:R180)</f>
        <v>63</v>
      </c>
    </row>
    <row r="15" spans="1:3" x14ac:dyDescent="0.35">
      <c r="A15" s="245">
        <v>35334</v>
      </c>
      <c r="B15" s="208">
        <f>COUNTIF(CAMPS18!AJ13:AJ177,'CARTE 7'!A15)</f>
        <v>0</v>
      </c>
      <c r="C15" s="208">
        <f>SUMIF(CAMPS18!AJ13:AJ177,'CARTE 7'!A15,CAMPS18!R13:R180)</f>
        <v>0</v>
      </c>
    </row>
    <row r="16" spans="1:3" x14ac:dyDescent="0.35">
      <c r="A16" s="245">
        <v>37132</v>
      </c>
      <c r="B16" s="208">
        <f>COUNTIF(CAMPS18!AJ14:AJ178,'CARTE 7'!A16)</f>
        <v>1</v>
      </c>
      <c r="C16" s="208">
        <f>SUMIF(CAMPS18!AJ14:AJ178,'CARTE 7'!A16,CAMPS18!R14:R181)</f>
        <v>62</v>
      </c>
    </row>
    <row r="17" spans="1:3" x14ac:dyDescent="0.35">
      <c r="A17" s="245">
        <v>42039</v>
      </c>
      <c r="B17" s="208">
        <f>COUNTIF(CAMPS18!AJ15:AJ179,'CARTE 7'!A17)</f>
        <v>1</v>
      </c>
      <c r="C17" s="208">
        <f>SUMIF(CAMPS18!AJ15:AJ179,'CARTE 7'!A17,CAMPS18!R15:R182)</f>
        <v>34</v>
      </c>
    </row>
    <row r="18" spans="1:3" x14ac:dyDescent="0.35">
      <c r="A18" s="245">
        <v>42292</v>
      </c>
      <c r="B18" s="208">
        <f>COUNTIF(CAMPS18!AJ16:AJ180,'CARTE 7'!A18)</f>
        <v>0</v>
      </c>
      <c r="C18" s="208">
        <f>SUMIF(CAMPS18!AJ16:AJ180,'CARTE 7'!A18,CAMPS18!R16:R183)</f>
        <v>0</v>
      </c>
    </row>
    <row r="19" spans="1:3" x14ac:dyDescent="0.35">
      <c r="A19" s="245">
        <v>48132</v>
      </c>
      <c r="B19" s="208">
        <f>COUNTIF(CAMPS18!AJ17:AJ181,'CARTE 7'!A19)</f>
        <v>1</v>
      </c>
      <c r="C19" s="208">
        <f>SUMIF(CAMPS18!AJ17:AJ181,'CARTE 7'!A19,CAMPS18!R17:R184)</f>
        <v>17</v>
      </c>
    </row>
    <row r="20" spans="1:3" x14ac:dyDescent="0.35">
      <c r="A20" s="245">
        <v>56162</v>
      </c>
      <c r="B20" s="208">
        <f>COUNTIF(CAMPS18!AJ18:AJ182,'CARTE 7'!A20)</f>
        <v>1</v>
      </c>
      <c r="C20" s="208">
        <f>SUMIF(CAMPS18!AJ18:AJ182,'CARTE 7'!A20,CAMPS18!R18:R185)</f>
        <v>49</v>
      </c>
    </row>
    <row r="21" spans="1:3" x14ac:dyDescent="0.35">
      <c r="A21" s="245" t="s">
        <v>909</v>
      </c>
      <c r="B21" s="208">
        <f>COUNTIF(CAMPS18!AJ19:AJ183,'CARTE 7'!A21)</f>
        <v>1</v>
      </c>
      <c r="C21" s="208">
        <f>SUMIF(CAMPS18!AJ19:AJ183,'CARTE 7'!A21,CAMPS18!R19:R186)</f>
        <v>58</v>
      </c>
    </row>
    <row r="22" spans="1:3" x14ac:dyDescent="0.35">
      <c r="A22" s="245">
        <v>65078</v>
      </c>
      <c r="B22" s="208">
        <f>COUNTIF(CAMPS18!AJ20:AJ184,'CARTE 7'!A22)</f>
        <v>1</v>
      </c>
      <c r="C22" s="208">
        <f>SUMIF(CAMPS18!AJ20:AJ184,'CARTE 7'!A22,CAMPS18!R20:R187)</f>
        <v>53</v>
      </c>
    </row>
    <row r="23" spans="1:3" x14ac:dyDescent="0.35">
      <c r="A23" s="245">
        <v>67191</v>
      </c>
      <c r="B23" s="208">
        <f>COUNTIF(CAMPS18!AJ21:AJ185,'CARTE 7'!A23)</f>
        <v>0</v>
      </c>
      <c r="C23" s="208">
        <f>SUMIF(CAMPS18!AJ21:AJ185,'CARTE 7'!A23,CAMPS18!R21:R188)</f>
        <v>0</v>
      </c>
    </row>
    <row r="24" spans="1:3" x14ac:dyDescent="0.35">
      <c r="A24" s="245">
        <v>69164</v>
      </c>
      <c r="B24" s="208">
        <f>COUNTIF(CAMPS18!AJ22:AJ186,'CARTE 7'!A24)</f>
        <v>2</v>
      </c>
      <c r="C24" s="208">
        <f>SUMIF(CAMPS18!AJ22:AJ186,'CARTE 7'!A24,CAMPS18!R22:R189)</f>
        <v>68</v>
      </c>
    </row>
    <row r="25" spans="1:3" x14ac:dyDescent="0.35">
      <c r="A25" s="245">
        <v>81201</v>
      </c>
      <c r="B25" s="208">
        <f>COUNTIF(CAMPS18!AJ23:AJ187,'CARTE 7'!A25)</f>
        <v>10</v>
      </c>
      <c r="C25" s="208">
        <f>SUMIF(CAMPS18!AJ23:AJ187,'CARTE 7'!A25,CAMPS18!R23:R190)</f>
        <v>179</v>
      </c>
    </row>
    <row r="26" spans="1:3" x14ac:dyDescent="0.35">
      <c r="A26" s="245">
        <v>84110</v>
      </c>
      <c r="B26" s="208">
        <f>COUNTIF(CAMPS18!AJ24:AJ188,'CARTE 7'!A26)</f>
        <v>1</v>
      </c>
      <c r="C26" s="208">
        <f>SUMIF(CAMPS18!AJ24:AJ188,'CARTE 7'!A26,CAMPS18!R24:R191)</f>
        <v>68</v>
      </c>
    </row>
    <row r="27" spans="1:3" x14ac:dyDescent="0.35">
      <c r="A27" s="245" t="s">
        <v>908</v>
      </c>
      <c r="B27" s="208">
        <f>COUNTIF(CAMPS18!AJ25:AJ189,'CARTE 7'!A27)</f>
        <v>0</v>
      </c>
      <c r="C27" s="208">
        <f>SUMIF(CAMPS18!AJ25:AJ189,'CARTE 7'!A27,CAMPS18!R25:R192)</f>
        <v>0</v>
      </c>
    </row>
    <row r="28" spans="1:3" x14ac:dyDescent="0.35">
      <c r="A28" s="245">
        <v>86024</v>
      </c>
      <c r="B28" s="208">
        <f>COUNTIF(CAMPS18!AJ26:AJ190,'CARTE 7'!A28)</f>
        <v>0</v>
      </c>
      <c r="C28" s="208">
        <f>SUMIF(CAMPS18!AJ26:AJ190,'CARTE 7'!A28,CAMPS18!R26:R193)</f>
        <v>0</v>
      </c>
    </row>
    <row r="29" spans="1:3" x14ac:dyDescent="0.35">
      <c r="A29" s="245">
        <v>86203</v>
      </c>
      <c r="B29" s="208">
        <f>COUNTIF(CAMPS18!AJ27:AJ191,'CARTE 7'!A29)</f>
        <v>2</v>
      </c>
      <c r="C29" s="208">
        <f>SUMIF(CAMPS18!AJ27:AJ191,'CARTE 7'!A29,CAMPS18!R27:R194)</f>
        <v>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8B95F-BC99-4A9E-877B-327202B85281}">
  <dimension ref="A1:H35"/>
  <sheetViews>
    <sheetView tabSelected="1" workbookViewId="0">
      <selection activeCell="D4" sqref="D4"/>
    </sheetView>
  </sheetViews>
  <sheetFormatPr baseColWidth="10" defaultRowHeight="14.5" x14ac:dyDescent="0.35"/>
  <cols>
    <col min="2" max="2" width="13.6328125" customWidth="1"/>
    <col min="3" max="3" width="15.1796875" customWidth="1"/>
  </cols>
  <sheetData>
    <row r="1" spans="1:8" x14ac:dyDescent="0.35">
      <c r="A1" s="216" t="s">
        <v>1954</v>
      </c>
    </row>
    <row r="3" spans="1:8" x14ac:dyDescent="0.35">
      <c r="A3" s="211" t="s">
        <v>1952</v>
      </c>
      <c r="B3" s="211" t="s">
        <v>1951</v>
      </c>
      <c r="C3" t="s">
        <v>1249</v>
      </c>
      <c r="D3" t="s">
        <v>1955</v>
      </c>
      <c r="E3" t="s">
        <v>1956</v>
      </c>
      <c r="F3" t="s">
        <v>1957</v>
      </c>
      <c r="G3" t="s">
        <v>1958</v>
      </c>
      <c r="H3" t="s">
        <v>1959</v>
      </c>
    </row>
    <row r="4" spans="1:8" x14ac:dyDescent="0.35">
      <c r="A4" s="245" t="s">
        <v>905</v>
      </c>
      <c r="B4" s="245" t="s">
        <v>926</v>
      </c>
      <c r="C4" s="208" t="s">
        <v>885</v>
      </c>
    </row>
    <row r="5" spans="1:8" x14ac:dyDescent="0.35">
      <c r="A5" s="245" t="s">
        <v>906</v>
      </c>
      <c r="B5" s="245" t="s">
        <v>927</v>
      </c>
      <c r="C5" s="208" t="s">
        <v>885</v>
      </c>
    </row>
    <row r="6" spans="1:8" x14ac:dyDescent="0.35">
      <c r="A6" s="245" t="s">
        <v>907</v>
      </c>
      <c r="B6" s="245" t="s">
        <v>928</v>
      </c>
      <c r="C6" s="208" t="s">
        <v>885</v>
      </c>
    </row>
    <row r="7" spans="1:8" x14ac:dyDescent="0.35">
      <c r="A7" s="245" t="s">
        <v>903</v>
      </c>
      <c r="B7" s="245" t="s">
        <v>929</v>
      </c>
      <c r="C7" s="208" t="s">
        <v>885</v>
      </c>
    </row>
    <row r="8" spans="1:8" x14ac:dyDescent="0.35">
      <c r="A8" s="245" t="s">
        <v>904</v>
      </c>
      <c r="B8" s="245" t="s">
        <v>623</v>
      </c>
      <c r="C8" s="208" t="s">
        <v>885</v>
      </c>
    </row>
    <row r="9" spans="1:8" x14ac:dyDescent="0.35">
      <c r="A9" s="245">
        <v>10029</v>
      </c>
      <c r="B9" s="245" t="s">
        <v>930</v>
      </c>
      <c r="C9" s="208" t="s">
        <v>885</v>
      </c>
    </row>
    <row r="10" spans="1:8" x14ac:dyDescent="0.35">
      <c r="A10" s="245" t="s">
        <v>902</v>
      </c>
      <c r="B10" s="245" t="s">
        <v>134</v>
      </c>
      <c r="C10" s="208" t="s">
        <v>885</v>
      </c>
    </row>
    <row r="11" spans="1:8" x14ac:dyDescent="0.35">
      <c r="A11" s="245">
        <v>13001</v>
      </c>
      <c r="B11" s="245" t="s">
        <v>931</v>
      </c>
      <c r="C11" s="208" t="s">
        <v>885</v>
      </c>
    </row>
    <row r="12" spans="1:8" x14ac:dyDescent="0.35">
      <c r="A12" s="245">
        <v>17140</v>
      </c>
      <c r="B12" s="245" t="s">
        <v>932</v>
      </c>
      <c r="C12" s="208" t="s">
        <v>885</v>
      </c>
    </row>
    <row r="13" spans="1:8" x14ac:dyDescent="0.35">
      <c r="A13" s="245">
        <v>21017</v>
      </c>
      <c r="B13" s="245" t="s">
        <v>547</v>
      </c>
      <c r="C13" s="208" t="s">
        <v>885</v>
      </c>
    </row>
    <row r="14" spans="1:8" x14ac:dyDescent="0.35">
      <c r="A14" s="245">
        <v>24183</v>
      </c>
      <c r="B14" s="245" t="s">
        <v>933</v>
      </c>
      <c r="C14" s="208" t="s">
        <v>885</v>
      </c>
    </row>
    <row r="15" spans="1:8" x14ac:dyDescent="0.35">
      <c r="A15" s="245" t="s">
        <v>918</v>
      </c>
      <c r="B15" s="245" t="s">
        <v>934</v>
      </c>
      <c r="C15" s="208" t="s">
        <v>885</v>
      </c>
    </row>
    <row r="16" spans="1:8" x14ac:dyDescent="0.35">
      <c r="A16" s="245">
        <v>35334</v>
      </c>
      <c r="B16" s="245" t="s">
        <v>935</v>
      </c>
      <c r="C16" s="208" t="s">
        <v>885</v>
      </c>
    </row>
    <row r="17" spans="1:3" x14ac:dyDescent="0.35">
      <c r="A17" s="245">
        <v>37132</v>
      </c>
      <c r="B17" s="245" t="s">
        <v>936</v>
      </c>
      <c r="C17" s="208" t="s">
        <v>885</v>
      </c>
    </row>
    <row r="18" spans="1:3" x14ac:dyDescent="0.35">
      <c r="A18" s="245">
        <v>42039</v>
      </c>
      <c r="B18" s="245" t="s">
        <v>652</v>
      </c>
      <c r="C18" s="208" t="s">
        <v>885</v>
      </c>
    </row>
    <row r="19" spans="1:3" x14ac:dyDescent="0.35">
      <c r="A19" s="245">
        <v>42292</v>
      </c>
      <c r="B19" s="245" t="s">
        <v>937</v>
      </c>
      <c r="C19" s="208" t="s">
        <v>885</v>
      </c>
    </row>
    <row r="20" spans="1:3" x14ac:dyDescent="0.35">
      <c r="A20" s="245">
        <v>48132</v>
      </c>
      <c r="B20" s="245" t="s">
        <v>938</v>
      </c>
      <c r="C20" s="208" t="s">
        <v>885</v>
      </c>
    </row>
    <row r="21" spans="1:3" x14ac:dyDescent="0.35">
      <c r="A21" s="245">
        <v>56162</v>
      </c>
      <c r="B21" s="245" t="s">
        <v>939</v>
      </c>
      <c r="C21" s="208" t="s">
        <v>885</v>
      </c>
    </row>
    <row r="22" spans="1:3" x14ac:dyDescent="0.35">
      <c r="A22" s="245" t="s">
        <v>909</v>
      </c>
      <c r="B22" s="245" t="s">
        <v>940</v>
      </c>
      <c r="C22" s="208" t="s">
        <v>885</v>
      </c>
    </row>
    <row r="23" spans="1:3" x14ac:dyDescent="0.35">
      <c r="A23" s="245">
        <v>65078</v>
      </c>
      <c r="B23" s="245" t="s">
        <v>941</v>
      </c>
      <c r="C23" s="208" t="s">
        <v>885</v>
      </c>
    </row>
    <row r="24" spans="1:3" x14ac:dyDescent="0.35">
      <c r="A24" s="245">
        <v>67191</v>
      </c>
      <c r="B24" s="245" t="s">
        <v>679</v>
      </c>
      <c r="C24" s="208" t="s">
        <v>885</v>
      </c>
    </row>
    <row r="25" spans="1:3" x14ac:dyDescent="0.35">
      <c r="A25" s="245">
        <v>69164</v>
      </c>
      <c r="B25" s="245" t="s">
        <v>734</v>
      </c>
      <c r="C25" s="208" t="s">
        <v>885</v>
      </c>
    </row>
    <row r="26" spans="1:3" x14ac:dyDescent="0.35">
      <c r="A26" s="245">
        <v>81201</v>
      </c>
      <c r="B26" s="245" t="s">
        <v>942</v>
      </c>
      <c r="C26" s="208" t="s">
        <v>885</v>
      </c>
    </row>
    <row r="27" spans="1:3" x14ac:dyDescent="0.35">
      <c r="A27" s="245">
        <v>84110</v>
      </c>
      <c r="B27" s="245" t="s">
        <v>943</v>
      </c>
      <c r="C27" s="208" t="s">
        <v>885</v>
      </c>
    </row>
    <row r="28" spans="1:3" x14ac:dyDescent="0.35">
      <c r="A28" s="245" t="s">
        <v>908</v>
      </c>
      <c r="B28" s="245" t="s">
        <v>944</v>
      </c>
      <c r="C28" s="208" t="s">
        <v>885</v>
      </c>
    </row>
    <row r="29" spans="1:3" x14ac:dyDescent="0.35">
      <c r="A29" s="245">
        <v>86024</v>
      </c>
      <c r="B29" s="245" t="s">
        <v>945</v>
      </c>
      <c r="C29" s="208" t="s">
        <v>885</v>
      </c>
    </row>
    <row r="30" spans="1:3" x14ac:dyDescent="0.35">
      <c r="A30" s="245">
        <v>86203</v>
      </c>
      <c r="B30" s="245" t="s">
        <v>98</v>
      </c>
      <c r="C30" s="208" t="s">
        <v>885</v>
      </c>
    </row>
    <row r="31" spans="1:3" x14ac:dyDescent="0.35">
      <c r="A31" s="245" t="s">
        <v>923</v>
      </c>
      <c r="B31" s="245" t="s">
        <v>149</v>
      </c>
      <c r="C31" s="208" t="s">
        <v>881</v>
      </c>
    </row>
    <row r="32" spans="1:3" x14ac:dyDescent="0.35">
      <c r="A32" s="245" t="s">
        <v>924</v>
      </c>
      <c r="B32" s="245" t="s">
        <v>946</v>
      </c>
      <c r="C32" s="208" t="s">
        <v>881</v>
      </c>
    </row>
    <row r="33" spans="1:3" x14ac:dyDescent="0.35">
      <c r="A33" s="245" t="s">
        <v>925</v>
      </c>
      <c r="B33" s="245" t="s">
        <v>947</v>
      </c>
      <c r="C33" s="208" t="s">
        <v>881</v>
      </c>
    </row>
    <row r="34" spans="1:3" x14ac:dyDescent="0.35">
      <c r="A34" s="245" t="s">
        <v>1201</v>
      </c>
      <c r="B34" s="245" t="s">
        <v>1202</v>
      </c>
      <c r="C34" s="208" t="s">
        <v>881</v>
      </c>
    </row>
    <row r="35" spans="1:3" x14ac:dyDescent="0.35">
      <c r="A35" s="245" t="s">
        <v>1203</v>
      </c>
      <c r="B35" s="245" t="s">
        <v>416</v>
      </c>
      <c r="C35" s="208" t="s">
        <v>881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EBE5D-4C73-43CE-8383-37401E2C2BB0}">
  <dimension ref="A1:C102"/>
  <sheetViews>
    <sheetView workbookViewId="0">
      <selection activeCell="A3" sqref="A3:C101"/>
    </sheetView>
  </sheetViews>
  <sheetFormatPr baseColWidth="10" defaultRowHeight="14.5" x14ac:dyDescent="0.35"/>
  <cols>
    <col min="1" max="1" width="15.90625" customWidth="1"/>
    <col min="2" max="2" width="16.08984375" customWidth="1"/>
    <col min="3" max="3" width="15.81640625" customWidth="1"/>
  </cols>
  <sheetData>
    <row r="1" spans="1:3" x14ac:dyDescent="0.35">
      <c r="A1" t="s">
        <v>901</v>
      </c>
    </row>
    <row r="3" spans="1:3" x14ac:dyDescent="0.35">
      <c r="A3" s="208" t="s">
        <v>896</v>
      </c>
      <c r="B3" s="208" t="s">
        <v>899</v>
      </c>
      <c r="C3" s="208" t="s">
        <v>900</v>
      </c>
    </row>
    <row r="4" spans="1:3" x14ac:dyDescent="0.35">
      <c r="A4" s="208">
        <v>1</v>
      </c>
      <c r="B4" s="208">
        <f>SUMIF(CAMPS18!AQ2:AQ166,'CARTE 10'!A4,CAMPS18!R2:R169)</f>
        <v>16</v>
      </c>
      <c r="C4" s="208">
        <f>COUNTIF(CAMPS18!AQ2:AQ166,'CARTE 10'!A4)</f>
        <v>1</v>
      </c>
    </row>
    <row r="5" spans="1:3" x14ac:dyDescent="0.35">
      <c r="A5" s="208">
        <f>A4+1</f>
        <v>2</v>
      </c>
      <c r="B5" s="208">
        <f>SUMIF(CAMPS18!AQ3:AQ167,'CARTE 10'!A5,CAMPS18!R3:R170)</f>
        <v>0</v>
      </c>
      <c r="C5" s="208">
        <f>COUNTIF(CAMPS18!AQ3:AQ167,'CARTE 10'!A5)</f>
        <v>0</v>
      </c>
    </row>
    <row r="6" spans="1:3" x14ac:dyDescent="0.35">
      <c r="A6" s="208">
        <f t="shared" ref="A6:A69" si="0">A5+1</f>
        <v>3</v>
      </c>
      <c r="B6" s="208">
        <f>SUMIF(CAMPS18!AQ4:AQ168,'CARTE 10'!A6,CAMPS18!R4:R171)</f>
        <v>171</v>
      </c>
      <c r="C6" s="208">
        <f>COUNTIF(CAMPS18!AQ4:AQ168,'CARTE 10'!A6)</f>
        <v>3</v>
      </c>
    </row>
    <row r="7" spans="1:3" x14ac:dyDescent="0.35">
      <c r="A7" s="208">
        <f t="shared" si="0"/>
        <v>4</v>
      </c>
      <c r="B7" s="208">
        <f>SUMIF(CAMPS18!AQ5:AQ169,'CARTE 10'!A7,CAMPS18!R5:R172)</f>
        <v>0</v>
      </c>
      <c r="C7" s="208">
        <f>COUNTIF(CAMPS18!AQ5:AQ169,'CARTE 10'!A7)</f>
        <v>0</v>
      </c>
    </row>
    <row r="8" spans="1:3" x14ac:dyDescent="0.35">
      <c r="A8" s="208">
        <f t="shared" si="0"/>
        <v>5</v>
      </c>
      <c r="B8" s="208">
        <f>SUMIF(CAMPS18!AQ6:AQ170,'CARTE 10'!A8,CAMPS18!R6:R173)</f>
        <v>107</v>
      </c>
      <c r="C8" s="208">
        <f>COUNTIF(CAMPS18!AQ6:AQ170,'CARTE 10'!A8)</f>
        <v>2</v>
      </c>
    </row>
    <row r="9" spans="1:3" x14ac:dyDescent="0.35">
      <c r="A9" s="208">
        <f t="shared" si="0"/>
        <v>6</v>
      </c>
      <c r="B9" s="208">
        <f>SUMIF(CAMPS18!AQ7:AQ171,'CARTE 10'!A9,CAMPS18!R7:R174)</f>
        <v>45</v>
      </c>
      <c r="C9" s="208">
        <f>COUNTIF(CAMPS18!AQ7:AQ171,'CARTE 10'!A9)</f>
        <v>1</v>
      </c>
    </row>
    <row r="10" spans="1:3" x14ac:dyDescent="0.35">
      <c r="A10" s="208">
        <f t="shared" si="0"/>
        <v>7</v>
      </c>
      <c r="B10" s="208">
        <f>SUMIF(CAMPS18!AQ8:AQ172,'CARTE 10'!A10,CAMPS18!R8:R175)</f>
        <v>49</v>
      </c>
      <c r="C10" s="208">
        <f>COUNTIF(CAMPS18!AQ8:AQ172,'CARTE 10'!A10)</f>
        <v>2</v>
      </c>
    </row>
    <row r="11" spans="1:3" x14ac:dyDescent="0.35">
      <c r="A11" s="208">
        <f t="shared" si="0"/>
        <v>8</v>
      </c>
      <c r="B11" s="208">
        <f>SUMIF(CAMPS18!AQ9:AQ173,'CARTE 10'!A11,CAMPS18!R9:R176)</f>
        <v>0</v>
      </c>
      <c r="C11" s="208">
        <f>COUNTIF(CAMPS18!AQ9:AQ173,'CARTE 10'!A11)</f>
        <v>0</v>
      </c>
    </row>
    <row r="12" spans="1:3" x14ac:dyDescent="0.35">
      <c r="A12" s="208">
        <f t="shared" si="0"/>
        <v>9</v>
      </c>
      <c r="B12" s="208">
        <f>SUMIF(CAMPS18!AQ10:AQ174,'CARTE 10'!A12,CAMPS18!R10:R177)</f>
        <v>194</v>
      </c>
      <c r="C12" s="208">
        <f>COUNTIF(CAMPS18!AQ10:AQ174,'CARTE 10'!A12)</f>
        <v>4</v>
      </c>
    </row>
    <row r="13" spans="1:3" x14ac:dyDescent="0.35">
      <c r="A13" s="208">
        <f t="shared" si="0"/>
        <v>10</v>
      </c>
      <c r="B13" s="208">
        <f>SUMIF(CAMPS18!AQ11:AQ175,'CARTE 10'!A13,CAMPS18!R11:R178)</f>
        <v>71</v>
      </c>
      <c r="C13" s="208">
        <f>COUNTIF(CAMPS18!AQ11:AQ175,'CARTE 10'!A13)</f>
        <v>3</v>
      </c>
    </row>
    <row r="14" spans="1:3" x14ac:dyDescent="0.35">
      <c r="A14" s="208">
        <f t="shared" si="0"/>
        <v>11</v>
      </c>
      <c r="B14" s="208">
        <f>SUMIF(CAMPS18!AQ12:AQ176,'CARTE 10'!A14,CAMPS18!R12:R179)</f>
        <v>7</v>
      </c>
      <c r="C14" s="208">
        <f>COUNTIF(CAMPS18!AQ12:AQ176,'CARTE 10'!A14)</f>
        <v>1</v>
      </c>
    </row>
    <row r="15" spans="1:3" x14ac:dyDescent="0.35">
      <c r="A15" s="208">
        <f t="shared" si="0"/>
        <v>12</v>
      </c>
      <c r="B15" s="208">
        <f>SUMIF(CAMPS18!AQ13:AQ177,'CARTE 10'!A15,CAMPS18!R13:R180)</f>
        <v>147</v>
      </c>
      <c r="C15" s="208">
        <f>COUNTIF(CAMPS18!AQ13:AQ177,'CARTE 10'!A15)</f>
        <v>8</v>
      </c>
    </row>
    <row r="16" spans="1:3" x14ac:dyDescent="0.35">
      <c r="A16" s="208">
        <f t="shared" si="0"/>
        <v>13</v>
      </c>
      <c r="B16" s="208">
        <f>SUMIF(CAMPS18!AQ14:AQ178,'CARTE 10'!A16,CAMPS18!R14:R181)</f>
        <v>0</v>
      </c>
      <c r="C16" s="208">
        <f>COUNTIF(CAMPS18!AQ14:AQ178,'CARTE 10'!A16)</f>
        <v>0</v>
      </c>
    </row>
    <row r="17" spans="1:3" x14ac:dyDescent="0.35">
      <c r="A17" s="208">
        <f t="shared" si="0"/>
        <v>14</v>
      </c>
      <c r="B17" s="208">
        <f>SUMIF(CAMPS18!AQ15:AQ179,'CARTE 10'!A17,CAMPS18!R15:R182)</f>
        <v>0</v>
      </c>
      <c r="C17" s="208">
        <f>COUNTIF(CAMPS18!AQ15:AQ179,'CARTE 10'!A17)</f>
        <v>0</v>
      </c>
    </row>
    <row r="18" spans="1:3" x14ac:dyDescent="0.35">
      <c r="A18" s="208">
        <f t="shared" si="0"/>
        <v>15</v>
      </c>
      <c r="B18" s="208">
        <f>SUMIF(CAMPS18!AQ16:AQ180,'CARTE 10'!A18,CAMPS18!R16:R183)</f>
        <v>46</v>
      </c>
      <c r="C18" s="208">
        <f>COUNTIF(CAMPS18!AQ16:AQ180,'CARTE 10'!A18)</f>
        <v>1</v>
      </c>
    </row>
    <row r="19" spans="1:3" x14ac:dyDescent="0.35">
      <c r="A19" s="208">
        <f t="shared" si="0"/>
        <v>16</v>
      </c>
      <c r="B19" s="208">
        <f>SUMIF(CAMPS18!AQ17:AQ181,'CARTE 10'!A19,CAMPS18!R17:R184)</f>
        <v>17</v>
      </c>
      <c r="C19" s="208">
        <f>COUNTIF(CAMPS18!AQ17:AQ181,'CARTE 10'!A19)</f>
        <v>1</v>
      </c>
    </row>
    <row r="20" spans="1:3" x14ac:dyDescent="0.35">
      <c r="A20" s="208">
        <f t="shared" si="0"/>
        <v>17</v>
      </c>
      <c r="B20" s="208">
        <f>SUMIF(CAMPS18!AQ18:AQ182,'CARTE 10'!A20,CAMPS18!R18:R185)</f>
        <v>33</v>
      </c>
      <c r="C20" s="208">
        <f>COUNTIF(CAMPS18!AQ18:AQ182,'CARTE 10'!A20)</f>
        <v>1</v>
      </c>
    </row>
    <row r="21" spans="1:3" x14ac:dyDescent="0.35">
      <c r="A21" s="208">
        <f t="shared" si="0"/>
        <v>18</v>
      </c>
      <c r="B21" s="208">
        <f>SUMIF(CAMPS18!AQ19:AQ183,'CARTE 10'!A21,CAMPS18!R19:R186)</f>
        <v>0</v>
      </c>
      <c r="C21" s="208">
        <f>COUNTIF(CAMPS18!AQ19:AQ183,'CARTE 10'!A21)</f>
        <v>0</v>
      </c>
    </row>
    <row r="22" spans="1:3" x14ac:dyDescent="0.35">
      <c r="A22" s="208">
        <f t="shared" si="0"/>
        <v>19</v>
      </c>
      <c r="B22" s="208">
        <f>SUMIF(CAMPS18!AQ20:AQ184,'CARTE 10'!A22,CAMPS18!R20:R187)</f>
        <v>0</v>
      </c>
      <c r="C22" s="208">
        <f>COUNTIF(CAMPS18!AQ20:AQ184,'CARTE 10'!A22)</f>
        <v>0</v>
      </c>
    </row>
    <row r="23" spans="1:3" x14ac:dyDescent="0.35">
      <c r="A23" s="208">
        <f t="shared" si="0"/>
        <v>20</v>
      </c>
      <c r="B23" s="208">
        <f>SUMIF(CAMPS18!AQ21:AQ185,'CARTE 10'!A23,CAMPS18!R21:R188)</f>
        <v>9</v>
      </c>
      <c r="C23" s="208">
        <f>COUNTIF(CAMPS18!AQ21:AQ185,'CARTE 10'!A23)</f>
        <v>1</v>
      </c>
    </row>
    <row r="24" spans="1:3" x14ac:dyDescent="0.35">
      <c r="A24" s="208">
        <f t="shared" si="0"/>
        <v>21</v>
      </c>
      <c r="B24" s="208">
        <f>SUMIF(CAMPS18!AQ22:AQ186,'CARTE 10'!A24,CAMPS18!R22:R189)</f>
        <v>180</v>
      </c>
      <c r="C24" s="208">
        <f>COUNTIF(CAMPS18!AQ22:AQ186,'CARTE 10'!A24)</f>
        <v>3</v>
      </c>
    </row>
    <row r="25" spans="1:3" x14ac:dyDescent="0.35">
      <c r="A25" s="208">
        <f t="shared" si="0"/>
        <v>22</v>
      </c>
      <c r="B25" s="208">
        <f>SUMIF(CAMPS18!AQ23:AQ187,'CARTE 10'!A25,CAMPS18!R23:R190)</f>
        <v>0</v>
      </c>
      <c r="C25" s="208">
        <f>COUNTIF(CAMPS18!AQ23:AQ187,'CARTE 10'!A25)</f>
        <v>0</v>
      </c>
    </row>
    <row r="26" spans="1:3" x14ac:dyDescent="0.35">
      <c r="A26" s="208">
        <f t="shared" si="0"/>
        <v>23</v>
      </c>
      <c r="B26" s="208">
        <f>SUMIF(CAMPS18!AQ24:AQ188,'CARTE 10'!A26,CAMPS18!R24:R191)</f>
        <v>0</v>
      </c>
      <c r="C26" s="208">
        <f>COUNTIF(CAMPS18!AQ24:AQ188,'CARTE 10'!A26)</f>
        <v>0</v>
      </c>
    </row>
    <row r="27" spans="1:3" x14ac:dyDescent="0.35">
      <c r="A27" s="208">
        <f t="shared" si="0"/>
        <v>24</v>
      </c>
      <c r="B27" s="208">
        <f>SUMIF(CAMPS18!AQ25:AQ189,'CARTE 10'!A27,CAMPS18!R25:R192)</f>
        <v>139</v>
      </c>
      <c r="C27" s="208">
        <f>COUNTIF(CAMPS18!AQ25:AQ189,'CARTE 10'!A27)</f>
        <v>3</v>
      </c>
    </row>
    <row r="28" spans="1:3" x14ac:dyDescent="0.35">
      <c r="A28" s="208">
        <f t="shared" si="0"/>
        <v>25</v>
      </c>
      <c r="B28" s="208">
        <f>SUMIF(CAMPS18!AQ26:AQ190,'CARTE 10'!A28,CAMPS18!R26:R193)</f>
        <v>87</v>
      </c>
      <c r="C28" s="208">
        <f>COUNTIF(CAMPS18!AQ26:AQ190,'CARTE 10'!A28)</f>
        <v>3</v>
      </c>
    </row>
    <row r="29" spans="1:3" x14ac:dyDescent="0.35">
      <c r="A29" s="208">
        <f t="shared" si="0"/>
        <v>26</v>
      </c>
      <c r="B29" s="208">
        <f>SUMIF(CAMPS18!AQ27:AQ191,'CARTE 10'!A29,CAMPS18!R27:R194)</f>
        <v>0</v>
      </c>
      <c r="C29" s="208">
        <f>COUNTIF(CAMPS18!AQ27:AQ191,'CARTE 10'!A29)</f>
        <v>0</v>
      </c>
    </row>
    <row r="30" spans="1:3" x14ac:dyDescent="0.35">
      <c r="A30" s="208">
        <f t="shared" si="0"/>
        <v>27</v>
      </c>
      <c r="B30" s="208">
        <f>SUMIF(CAMPS18!AQ28:AQ192,'CARTE 10'!A30,CAMPS18!R28:R195)</f>
        <v>0</v>
      </c>
      <c r="C30" s="208">
        <f>COUNTIF(CAMPS18!AQ28:AQ192,'CARTE 10'!A30)</f>
        <v>0</v>
      </c>
    </row>
    <row r="31" spans="1:3" x14ac:dyDescent="0.35">
      <c r="A31" s="208">
        <f t="shared" si="0"/>
        <v>28</v>
      </c>
      <c r="B31" s="208">
        <f>SUMIF(CAMPS18!AQ29:AQ193,'CARTE 10'!A31,CAMPS18!R29:R196)</f>
        <v>0</v>
      </c>
      <c r="C31" s="208">
        <f>COUNTIF(CAMPS18!AQ29:AQ193,'CARTE 10'!A31)</f>
        <v>0</v>
      </c>
    </row>
    <row r="32" spans="1:3" x14ac:dyDescent="0.35">
      <c r="A32" s="208">
        <f t="shared" si="0"/>
        <v>29</v>
      </c>
      <c r="B32" s="208">
        <f>SUMIF(CAMPS18!AQ30:AQ194,'CARTE 10'!A32,CAMPS18!R30:R197)</f>
        <v>94</v>
      </c>
      <c r="C32" s="208">
        <f>COUNTIF(CAMPS18!AQ30:AQ194,'CARTE 10'!A32)</f>
        <v>2</v>
      </c>
    </row>
    <row r="33" spans="1:3" x14ac:dyDescent="0.35">
      <c r="A33" s="208">
        <f t="shared" si="0"/>
        <v>30</v>
      </c>
      <c r="B33" s="208">
        <f>SUMIF(CAMPS18!AQ31:AQ195,'CARTE 10'!A33,CAMPS18!R31:R198)</f>
        <v>159</v>
      </c>
      <c r="C33" s="208">
        <f>COUNTIF(CAMPS18!AQ31:AQ195,'CARTE 10'!A33)</f>
        <v>4</v>
      </c>
    </row>
    <row r="34" spans="1:3" x14ac:dyDescent="0.35">
      <c r="A34" s="208">
        <f t="shared" si="0"/>
        <v>31</v>
      </c>
      <c r="B34" s="208">
        <f>SUMIF(CAMPS18!AQ32:AQ196,'CARTE 10'!A34,CAMPS18!R32:R199)</f>
        <v>137</v>
      </c>
      <c r="C34" s="208">
        <f>COUNTIF(CAMPS18!AQ32:AQ196,'CARTE 10'!A34)</f>
        <v>3</v>
      </c>
    </row>
    <row r="35" spans="1:3" x14ac:dyDescent="0.35">
      <c r="A35" s="208">
        <f t="shared" si="0"/>
        <v>32</v>
      </c>
      <c r="B35" s="208">
        <f>SUMIF(CAMPS18!AQ33:AQ197,'CARTE 10'!A35,CAMPS18!R33:R200)</f>
        <v>7</v>
      </c>
      <c r="C35" s="208">
        <f>COUNTIF(CAMPS18!AQ33:AQ197,'CARTE 10'!A35)</f>
        <v>1</v>
      </c>
    </row>
    <row r="36" spans="1:3" x14ac:dyDescent="0.35">
      <c r="A36" s="208">
        <f t="shared" si="0"/>
        <v>33</v>
      </c>
      <c r="B36" s="208">
        <f>SUMIF(CAMPS18!AQ34:AQ198,'CARTE 10'!A36,CAMPS18!R34:R201)</f>
        <v>0</v>
      </c>
      <c r="C36" s="208">
        <f>COUNTIF(CAMPS18!AQ34:AQ198,'CARTE 10'!A36)</f>
        <v>0</v>
      </c>
    </row>
    <row r="37" spans="1:3" x14ac:dyDescent="0.35">
      <c r="A37" s="208">
        <f t="shared" si="0"/>
        <v>34</v>
      </c>
      <c r="B37" s="208">
        <f>SUMIF(CAMPS18!AQ35:AQ199,'CARTE 10'!A37,CAMPS18!R35:R202)</f>
        <v>121</v>
      </c>
      <c r="C37" s="208">
        <f>COUNTIF(CAMPS18!AQ35:AQ199,'CARTE 10'!A37)</f>
        <v>5</v>
      </c>
    </row>
    <row r="38" spans="1:3" x14ac:dyDescent="0.35">
      <c r="A38" s="208">
        <f t="shared" si="0"/>
        <v>35</v>
      </c>
      <c r="B38" s="208">
        <f>SUMIF(CAMPS18!AQ36:AQ200,'CARTE 10'!A38,CAMPS18!R36:R203)</f>
        <v>33</v>
      </c>
      <c r="C38" s="208">
        <f>COUNTIF(CAMPS18!AQ36:AQ200,'CARTE 10'!A38)</f>
        <v>1</v>
      </c>
    </row>
    <row r="39" spans="1:3" x14ac:dyDescent="0.35">
      <c r="A39" s="208">
        <f t="shared" si="0"/>
        <v>36</v>
      </c>
      <c r="B39" s="208">
        <f>SUMIF(CAMPS18!AQ37:AQ201,'CARTE 10'!A39,CAMPS18!R37:R204)</f>
        <v>0</v>
      </c>
      <c r="C39" s="208">
        <f>COUNTIF(CAMPS18!AQ37:AQ201,'CARTE 10'!A39)</f>
        <v>0</v>
      </c>
    </row>
    <row r="40" spans="1:3" x14ac:dyDescent="0.35">
      <c r="A40" s="208">
        <f t="shared" si="0"/>
        <v>37</v>
      </c>
      <c r="B40" s="208">
        <f>SUMIF(CAMPS18!AQ38:AQ202,'CARTE 10'!A40,CAMPS18!R38:R205)</f>
        <v>0</v>
      </c>
      <c r="C40" s="208">
        <f>COUNTIF(CAMPS18!AQ38:AQ202,'CARTE 10'!A40)</f>
        <v>0</v>
      </c>
    </row>
    <row r="41" spans="1:3" x14ac:dyDescent="0.35">
      <c r="A41" s="208">
        <f t="shared" si="0"/>
        <v>38</v>
      </c>
      <c r="B41" s="208">
        <f>SUMIF(CAMPS18!AQ39:AQ203,'CARTE 10'!A41,CAMPS18!R39:R206)</f>
        <v>37</v>
      </c>
      <c r="C41" s="208">
        <f>COUNTIF(CAMPS18!AQ39:AQ203,'CARTE 10'!A41)</f>
        <v>2</v>
      </c>
    </row>
    <row r="42" spans="1:3" x14ac:dyDescent="0.35">
      <c r="A42" s="208">
        <f t="shared" si="0"/>
        <v>39</v>
      </c>
      <c r="B42" s="208">
        <f>SUMIF(CAMPS18!AQ40:AQ204,'CARTE 10'!A42,CAMPS18!R40:R207)</f>
        <v>38</v>
      </c>
      <c r="C42" s="208">
        <f>COUNTIF(CAMPS18!AQ40:AQ204,'CARTE 10'!A42)</f>
        <v>1</v>
      </c>
    </row>
    <row r="43" spans="1:3" x14ac:dyDescent="0.35">
      <c r="A43" s="208">
        <f t="shared" si="0"/>
        <v>40</v>
      </c>
      <c r="B43" s="208">
        <f>SUMIF(CAMPS18!AQ41:AQ205,'CARTE 10'!A43,CAMPS18!R41:R208)</f>
        <v>0</v>
      </c>
      <c r="C43" s="208">
        <f>COUNTIF(CAMPS18!AQ41:AQ205,'CARTE 10'!A43)</f>
        <v>0</v>
      </c>
    </row>
    <row r="44" spans="1:3" x14ac:dyDescent="0.35">
      <c r="A44" s="208">
        <f t="shared" si="0"/>
        <v>41</v>
      </c>
      <c r="B44" s="208">
        <f>SUMIF(CAMPS18!AQ42:AQ206,'CARTE 10'!A44,CAMPS18!R42:R209)</f>
        <v>0</v>
      </c>
      <c r="C44" s="208">
        <f>COUNTIF(CAMPS18!AQ42:AQ206,'CARTE 10'!A44)</f>
        <v>0</v>
      </c>
    </row>
    <row r="45" spans="1:3" x14ac:dyDescent="0.35">
      <c r="A45" s="208">
        <f t="shared" si="0"/>
        <v>42</v>
      </c>
      <c r="B45" s="208">
        <f>SUMIF(CAMPS18!AQ43:AQ207,'CARTE 10'!A45,CAMPS18!R43:R210)</f>
        <v>34</v>
      </c>
      <c r="C45" s="208">
        <f>COUNTIF(CAMPS18!AQ43:AQ207,'CARTE 10'!A45)</f>
        <v>1</v>
      </c>
    </row>
    <row r="46" spans="1:3" x14ac:dyDescent="0.35">
      <c r="A46" s="208">
        <f t="shared" si="0"/>
        <v>43</v>
      </c>
      <c r="B46" s="208">
        <f>SUMIF(CAMPS18!AQ44:AQ208,'CARTE 10'!A46,CAMPS18!R44:R211)</f>
        <v>0</v>
      </c>
      <c r="C46" s="208">
        <f>COUNTIF(CAMPS18!AQ44:AQ208,'CARTE 10'!A46)</f>
        <v>0</v>
      </c>
    </row>
    <row r="47" spans="1:3" x14ac:dyDescent="0.35">
      <c r="A47" s="208">
        <f t="shared" si="0"/>
        <v>44</v>
      </c>
      <c r="B47" s="208">
        <f>SUMIF(CAMPS18!AQ45:AQ209,'CARTE 10'!A47,CAMPS18!R45:R212)</f>
        <v>0</v>
      </c>
      <c r="C47" s="208">
        <f>COUNTIF(CAMPS18!AQ45:AQ209,'CARTE 10'!A47)</f>
        <v>0</v>
      </c>
    </row>
    <row r="48" spans="1:3" x14ac:dyDescent="0.35">
      <c r="A48" s="208">
        <f t="shared" si="0"/>
        <v>45</v>
      </c>
      <c r="B48" s="208">
        <f>SUMIF(CAMPS18!AQ46:AQ210,'CARTE 10'!A48,CAMPS18!R46:R213)</f>
        <v>12</v>
      </c>
      <c r="C48" s="208">
        <f>COUNTIF(CAMPS18!AQ46:AQ210,'CARTE 10'!A48)</f>
        <v>1</v>
      </c>
    </row>
    <row r="49" spans="1:3" x14ac:dyDescent="0.35">
      <c r="A49" s="208">
        <f t="shared" si="0"/>
        <v>46</v>
      </c>
      <c r="B49" s="208">
        <f>SUMIF(CAMPS18!AQ47:AQ211,'CARTE 10'!A49,CAMPS18!R47:R214)</f>
        <v>8</v>
      </c>
      <c r="C49" s="208">
        <f>COUNTIF(CAMPS18!AQ47:AQ211,'CARTE 10'!A49)</f>
        <v>1</v>
      </c>
    </row>
    <row r="50" spans="1:3" x14ac:dyDescent="0.35">
      <c r="A50" s="208">
        <f t="shared" si="0"/>
        <v>47</v>
      </c>
      <c r="B50" s="208">
        <f>SUMIF(CAMPS18!AQ48:AQ212,'CARTE 10'!A50,CAMPS18!R48:R215)</f>
        <v>0</v>
      </c>
      <c r="C50" s="208">
        <f>COUNTIF(CAMPS18!AQ48:AQ212,'CARTE 10'!A50)</f>
        <v>0</v>
      </c>
    </row>
    <row r="51" spans="1:3" x14ac:dyDescent="0.35">
      <c r="A51" s="208">
        <f t="shared" si="0"/>
        <v>48</v>
      </c>
      <c r="B51" s="208">
        <f>SUMIF(CAMPS18!AQ49:AQ213,'CARTE 10'!A51,CAMPS18!R49:R216)</f>
        <v>50</v>
      </c>
      <c r="C51" s="208">
        <f>COUNTIF(CAMPS18!AQ49:AQ213,'CARTE 10'!A51)</f>
        <v>2</v>
      </c>
    </row>
    <row r="52" spans="1:3" x14ac:dyDescent="0.35">
      <c r="A52" s="208">
        <f t="shared" si="0"/>
        <v>49</v>
      </c>
      <c r="B52" s="208">
        <f>SUMIF(CAMPS18!AQ50:AQ214,'CARTE 10'!A52,CAMPS18!R50:R217)</f>
        <v>24</v>
      </c>
      <c r="C52" s="208">
        <f>COUNTIF(CAMPS18!AQ50:AQ214,'CARTE 10'!A52)</f>
        <v>1</v>
      </c>
    </row>
    <row r="53" spans="1:3" x14ac:dyDescent="0.35">
      <c r="A53" s="208">
        <f t="shared" si="0"/>
        <v>50</v>
      </c>
      <c r="B53" s="208">
        <f>SUMIF(CAMPS18!AQ51:AQ215,'CARTE 10'!A53,CAMPS18!R51:R218)</f>
        <v>0</v>
      </c>
      <c r="C53" s="208">
        <f>COUNTIF(CAMPS18!AQ51:AQ215,'CARTE 10'!A53)</f>
        <v>0</v>
      </c>
    </row>
    <row r="54" spans="1:3" x14ac:dyDescent="0.35">
      <c r="A54" s="208">
        <f t="shared" si="0"/>
        <v>51</v>
      </c>
      <c r="B54" s="208">
        <f>SUMIF(CAMPS18!AQ52:AQ216,'CARTE 10'!A54,CAMPS18!R52:R219)</f>
        <v>0</v>
      </c>
      <c r="C54" s="208">
        <f>COUNTIF(CAMPS18!AQ52:AQ216,'CARTE 10'!A54)</f>
        <v>0</v>
      </c>
    </row>
    <row r="55" spans="1:3" x14ac:dyDescent="0.35">
      <c r="A55" s="208">
        <f t="shared" si="0"/>
        <v>52</v>
      </c>
      <c r="B55" s="208">
        <f>SUMIF(CAMPS18!AQ53:AQ217,'CARTE 10'!A55,CAMPS18!R53:R220)</f>
        <v>31</v>
      </c>
      <c r="C55" s="208">
        <f>COUNTIF(CAMPS18!AQ53:AQ217,'CARTE 10'!A55)</f>
        <v>1</v>
      </c>
    </row>
    <row r="56" spans="1:3" x14ac:dyDescent="0.35">
      <c r="A56" s="208">
        <f t="shared" si="0"/>
        <v>53</v>
      </c>
      <c r="B56" s="208">
        <f>SUMIF(CAMPS18!AQ54:AQ218,'CARTE 10'!A56,CAMPS18!R54:R221)</f>
        <v>26</v>
      </c>
      <c r="C56" s="208">
        <f>COUNTIF(CAMPS18!AQ54:AQ218,'CARTE 10'!A56)</f>
        <v>1</v>
      </c>
    </row>
    <row r="57" spans="1:3" x14ac:dyDescent="0.35">
      <c r="A57" s="208">
        <f t="shared" si="0"/>
        <v>54</v>
      </c>
      <c r="B57" s="208">
        <f>SUMIF(CAMPS18!AQ55:AQ219,'CARTE 10'!A57,CAMPS18!R55:R222)</f>
        <v>0</v>
      </c>
      <c r="C57" s="208">
        <f>COUNTIF(CAMPS18!AQ55:AQ219,'CARTE 10'!A57)</f>
        <v>0</v>
      </c>
    </row>
    <row r="58" spans="1:3" x14ac:dyDescent="0.35">
      <c r="A58" s="208">
        <f t="shared" si="0"/>
        <v>55</v>
      </c>
      <c r="B58" s="208">
        <f>SUMIF(CAMPS18!AQ56:AQ220,'CARTE 10'!A58,CAMPS18!R56:R223)</f>
        <v>0</v>
      </c>
      <c r="C58" s="208">
        <f>COUNTIF(CAMPS18!AQ56:AQ220,'CARTE 10'!A58)</f>
        <v>0</v>
      </c>
    </row>
    <row r="59" spans="1:3" x14ac:dyDescent="0.35">
      <c r="A59" s="208">
        <f t="shared" si="0"/>
        <v>56</v>
      </c>
      <c r="B59" s="208">
        <f>SUMIF(CAMPS18!AQ57:AQ221,'CARTE 10'!A59,CAMPS18!R57:R224)</f>
        <v>108</v>
      </c>
      <c r="C59" s="208">
        <f>COUNTIF(CAMPS18!AQ57:AQ221,'CARTE 10'!A59)</f>
        <v>2</v>
      </c>
    </row>
    <row r="60" spans="1:3" x14ac:dyDescent="0.35">
      <c r="A60" s="208">
        <f t="shared" si="0"/>
        <v>57</v>
      </c>
      <c r="B60" s="208">
        <f>SUMIF(CAMPS18!AQ58:AQ222,'CARTE 10'!A60,CAMPS18!R58:R225)</f>
        <v>21</v>
      </c>
      <c r="C60" s="208">
        <f>COUNTIF(CAMPS18!AQ58:AQ222,'CARTE 10'!A60)</f>
        <v>1</v>
      </c>
    </row>
    <row r="61" spans="1:3" x14ac:dyDescent="0.35">
      <c r="A61" s="208">
        <f t="shared" si="0"/>
        <v>58</v>
      </c>
      <c r="B61" s="208">
        <f>SUMIF(CAMPS18!AQ59:AQ223,'CARTE 10'!A61,CAMPS18!R59:R226)</f>
        <v>0</v>
      </c>
      <c r="C61" s="208">
        <f>COUNTIF(CAMPS18!AQ59:AQ223,'CARTE 10'!A61)</f>
        <v>0</v>
      </c>
    </row>
    <row r="62" spans="1:3" x14ac:dyDescent="0.35">
      <c r="A62" s="208">
        <f t="shared" si="0"/>
        <v>59</v>
      </c>
      <c r="B62" s="208">
        <f>SUMIF(CAMPS18!AQ60:AQ224,'CARTE 10'!A62,CAMPS18!R60:R227)</f>
        <v>100</v>
      </c>
      <c r="C62" s="208">
        <f>COUNTIF(CAMPS18!AQ60:AQ224,'CARTE 10'!A62)</f>
        <v>2</v>
      </c>
    </row>
    <row r="63" spans="1:3" x14ac:dyDescent="0.35">
      <c r="A63" s="208">
        <f t="shared" si="0"/>
        <v>60</v>
      </c>
      <c r="B63" s="208">
        <f>SUMIF(CAMPS18!AQ61:AQ225,'CARTE 10'!A63,CAMPS18!R61:R228)</f>
        <v>0</v>
      </c>
      <c r="C63" s="208">
        <f>COUNTIF(CAMPS18!AQ61:AQ225,'CARTE 10'!A63)</f>
        <v>0</v>
      </c>
    </row>
    <row r="64" spans="1:3" x14ac:dyDescent="0.35">
      <c r="A64" s="208">
        <f t="shared" si="0"/>
        <v>61</v>
      </c>
      <c r="B64" s="208">
        <f>SUMIF(CAMPS18!AQ62:AQ226,'CARTE 10'!A64,CAMPS18!R62:R229)</f>
        <v>0</v>
      </c>
      <c r="C64" s="208">
        <f>COUNTIF(CAMPS18!AQ62:AQ226,'CARTE 10'!A64)</f>
        <v>0</v>
      </c>
    </row>
    <row r="65" spans="1:3" x14ac:dyDescent="0.35">
      <c r="A65" s="208">
        <f t="shared" si="0"/>
        <v>62</v>
      </c>
      <c r="B65" s="208">
        <f>SUMIF(CAMPS18!AQ63:AQ227,'CARTE 10'!A65,CAMPS18!R63:R230)</f>
        <v>0</v>
      </c>
      <c r="C65" s="208">
        <f>COUNTIF(CAMPS18!AQ63:AQ227,'CARTE 10'!A65)</f>
        <v>0</v>
      </c>
    </row>
    <row r="66" spans="1:3" x14ac:dyDescent="0.35">
      <c r="A66" s="208">
        <f t="shared" si="0"/>
        <v>63</v>
      </c>
      <c r="B66" s="208">
        <f>SUMIF(CAMPS18!AQ64:AQ228,'CARTE 10'!A66,CAMPS18!R64:R231)</f>
        <v>82</v>
      </c>
      <c r="C66" s="208">
        <f>COUNTIF(CAMPS18!AQ64:AQ228,'CARTE 10'!A66)</f>
        <v>3</v>
      </c>
    </row>
    <row r="67" spans="1:3" x14ac:dyDescent="0.35">
      <c r="A67" s="208">
        <f t="shared" si="0"/>
        <v>64</v>
      </c>
      <c r="B67" s="208">
        <f>SUMIF(CAMPS18!AQ65:AQ229,'CARTE 10'!A67,CAMPS18!R65:R232)</f>
        <v>29</v>
      </c>
      <c r="C67" s="208">
        <f>COUNTIF(CAMPS18!AQ65:AQ229,'CARTE 10'!A67)</f>
        <v>2</v>
      </c>
    </row>
    <row r="68" spans="1:3" x14ac:dyDescent="0.35">
      <c r="A68" s="208">
        <f t="shared" si="0"/>
        <v>65</v>
      </c>
      <c r="B68" s="208">
        <f>SUMIF(CAMPS18!AQ66:AQ230,'CARTE 10'!A68,CAMPS18!R66:R233)</f>
        <v>53</v>
      </c>
      <c r="C68" s="208">
        <f>COUNTIF(CAMPS18!AQ66:AQ230,'CARTE 10'!A68)</f>
        <v>1</v>
      </c>
    </row>
    <row r="69" spans="1:3" x14ac:dyDescent="0.35">
      <c r="A69" s="208">
        <f t="shared" si="0"/>
        <v>66</v>
      </c>
      <c r="B69" s="208">
        <f>SUMIF(CAMPS18!AQ67:AQ231,'CARTE 10'!A69,CAMPS18!R67:R234)</f>
        <v>51</v>
      </c>
      <c r="C69" s="208">
        <f>COUNTIF(CAMPS18!AQ67:AQ231,'CARTE 10'!A69)</f>
        <v>2</v>
      </c>
    </row>
    <row r="70" spans="1:3" x14ac:dyDescent="0.35">
      <c r="A70" s="208">
        <f t="shared" ref="A70:A102" si="1">A69+1</f>
        <v>67</v>
      </c>
      <c r="B70" s="208">
        <f>SUMIF(CAMPS18!AQ68:AQ232,'CARTE 10'!A70,CAMPS18!R68:R235)</f>
        <v>37</v>
      </c>
      <c r="C70" s="208">
        <f>COUNTIF(CAMPS18!AQ68:AQ232,'CARTE 10'!A70)</f>
        <v>2</v>
      </c>
    </row>
    <row r="71" spans="1:3" x14ac:dyDescent="0.35">
      <c r="A71" s="208">
        <f t="shared" si="1"/>
        <v>68</v>
      </c>
      <c r="B71" s="208">
        <f>SUMIF(CAMPS18!AQ69:AQ233,'CARTE 10'!A71,CAMPS18!R69:R236)</f>
        <v>31</v>
      </c>
      <c r="C71" s="208">
        <f>COUNTIF(CAMPS18!AQ69:AQ233,'CARTE 10'!A71)</f>
        <v>1</v>
      </c>
    </row>
    <row r="72" spans="1:3" x14ac:dyDescent="0.35">
      <c r="A72" s="208">
        <f t="shared" si="1"/>
        <v>69</v>
      </c>
      <c r="B72" s="208">
        <f>SUMIF(CAMPS18!AQ70:AQ234,'CARTE 10'!A72,CAMPS18!R70:R237)</f>
        <v>68</v>
      </c>
      <c r="C72" s="208">
        <f>COUNTIF(CAMPS18!AQ70:AQ234,'CARTE 10'!A72)</f>
        <v>2</v>
      </c>
    </row>
    <row r="73" spans="1:3" x14ac:dyDescent="0.35">
      <c r="A73" s="208">
        <f t="shared" si="1"/>
        <v>70</v>
      </c>
      <c r="B73" s="208">
        <f>SUMIF(CAMPS18!AQ71:AQ235,'CARTE 10'!A73,CAMPS18!R71:R238)</f>
        <v>0</v>
      </c>
      <c r="C73" s="208">
        <f>COUNTIF(CAMPS18!AQ71:AQ235,'CARTE 10'!A73)</f>
        <v>0</v>
      </c>
    </row>
    <row r="74" spans="1:3" x14ac:dyDescent="0.35">
      <c r="A74" s="208">
        <f t="shared" si="1"/>
        <v>71</v>
      </c>
      <c r="B74" s="208">
        <f>SUMIF(CAMPS18!AQ72:AQ236,'CARTE 10'!A74,CAMPS18!R72:R239)</f>
        <v>185</v>
      </c>
      <c r="C74" s="208">
        <f>COUNTIF(CAMPS18!AQ72:AQ236,'CARTE 10'!A74)</f>
        <v>3</v>
      </c>
    </row>
    <row r="75" spans="1:3" x14ac:dyDescent="0.35">
      <c r="A75" s="208">
        <f t="shared" si="1"/>
        <v>72</v>
      </c>
      <c r="B75" s="208">
        <f>SUMIF(CAMPS18!AQ73:AQ237,'CARTE 10'!A75,CAMPS18!R73:R240)</f>
        <v>0</v>
      </c>
      <c r="C75" s="208">
        <f>COUNTIF(CAMPS18!AQ73:AQ237,'CARTE 10'!A75)</f>
        <v>0</v>
      </c>
    </row>
    <row r="76" spans="1:3" x14ac:dyDescent="0.35">
      <c r="A76" s="208">
        <f t="shared" si="1"/>
        <v>73</v>
      </c>
      <c r="B76" s="208">
        <f>SUMIF(CAMPS18!AQ74:AQ238,'CARTE 10'!A76,CAMPS18!R74:R241)</f>
        <v>62</v>
      </c>
      <c r="C76" s="208">
        <f>COUNTIF(CAMPS18!AQ74:AQ238,'CARTE 10'!A76)</f>
        <v>1</v>
      </c>
    </row>
    <row r="77" spans="1:3" x14ac:dyDescent="0.35">
      <c r="A77" s="208">
        <f t="shared" si="1"/>
        <v>74</v>
      </c>
      <c r="B77" s="208">
        <f>SUMIF(CAMPS18!AQ75:AQ239,'CARTE 10'!A77,CAMPS18!R75:R242)</f>
        <v>0</v>
      </c>
      <c r="C77" s="208">
        <f>COUNTIF(CAMPS18!AQ75:AQ239,'CARTE 10'!A77)</f>
        <v>0</v>
      </c>
    </row>
    <row r="78" spans="1:3" x14ac:dyDescent="0.35">
      <c r="A78" s="208">
        <f t="shared" si="1"/>
        <v>75</v>
      </c>
      <c r="B78" s="208">
        <f>SUMIF(CAMPS18!AQ76:AQ240,'CARTE 10'!A78,CAMPS18!R76:R243)</f>
        <v>0</v>
      </c>
      <c r="C78" s="208">
        <f>COUNTIF(CAMPS18!AQ76:AQ240,'CARTE 10'!A78)</f>
        <v>0</v>
      </c>
    </row>
    <row r="79" spans="1:3" x14ac:dyDescent="0.35">
      <c r="A79" s="208">
        <f t="shared" si="1"/>
        <v>76</v>
      </c>
      <c r="B79" s="208">
        <f>SUMIF(CAMPS18!AQ77:AQ241,'CARTE 10'!A79,CAMPS18!R77:R244)</f>
        <v>0</v>
      </c>
      <c r="C79" s="208">
        <f>COUNTIF(CAMPS18!AQ77:AQ241,'CARTE 10'!A79)</f>
        <v>0</v>
      </c>
    </row>
    <row r="80" spans="1:3" x14ac:dyDescent="0.35">
      <c r="A80" s="208">
        <f t="shared" si="1"/>
        <v>77</v>
      </c>
      <c r="B80" s="208">
        <f>SUMIF(CAMPS18!AQ78:AQ242,'CARTE 10'!A80,CAMPS18!R78:R245)</f>
        <v>0</v>
      </c>
      <c r="C80" s="208">
        <f>COUNTIF(CAMPS18!AQ78:AQ242,'CARTE 10'!A80)</f>
        <v>0</v>
      </c>
    </row>
    <row r="81" spans="1:3" x14ac:dyDescent="0.35">
      <c r="A81" s="208">
        <f t="shared" si="1"/>
        <v>78</v>
      </c>
      <c r="B81" s="208">
        <f>SUMIF(CAMPS18!AQ79:AQ243,'CARTE 10'!A81,CAMPS18!R79:R246)</f>
        <v>0</v>
      </c>
      <c r="C81" s="208">
        <f>COUNTIF(CAMPS18!AQ79:AQ243,'CARTE 10'!A81)</f>
        <v>0</v>
      </c>
    </row>
    <row r="82" spans="1:3" x14ac:dyDescent="0.35">
      <c r="A82" s="208">
        <f t="shared" si="1"/>
        <v>79</v>
      </c>
      <c r="B82" s="208">
        <f>SUMIF(CAMPS18!AQ80:AQ244,'CARTE 10'!A82,CAMPS18!R80:R247)</f>
        <v>0</v>
      </c>
      <c r="C82" s="208">
        <f>COUNTIF(CAMPS18!AQ80:AQ244,'CARTE 10'!A82)</f>
        <v>0</v>
      </c>
    </row>
    <row r="83" spans="1:3" x14ac:dyDescent="0.35">
      <c r="A83" s="208">
        <f t="shared" si="1"/>
        <v>80</v>
      </c>
      <c r="B83" s="208">
        <f>SUMIF(CAMPS18!AQ81:AQ245,'CARTE 10'!A83,CAMPS18!R81:R248)</f>
        <v>0</v>
      </c>
      <c r="C83" s="208">
        <f>COUNTIF(CAMPS18!AQ81:AQ245,'CARTE 10'!A83)</f>
        <v>0</v>
      </c>
    </row>
    <row r="84" spans="1:3" x14ac:dyDescent="0.35">
      <c r="A84" s="208">
        <f t="shared" si="1"/>
        <v>81</v>
      </c>
      <c r="B84" s="208">
        <f>SUMIF(CAMPS18!AQ82:AQ246,'CARTE 10'!A84,CAMPS18!R82:R249)</f>
        <v>240</v>
      </c>
      <c r="C84" s="208">
        <f>COUNTIF(CAMPS18!AQ82:AQ246,'CARTE 10'!A84)</f>
        <v>11</v>
      </c>
    </row>
    <row r="85" spans="1:3" x14ac:dyDescent="0.35">
      <c r="A85" s="208">
        <f t="shared" si="1"/>
        <v>82</v>
      </c>
      <c r="B85" s="208">
        <f>SUMIF(CAMPS18!AQ83:AQ247,'CARTE 10'!A85,CAMPS18!R83:R250)</f>
        <v>0</v>
      </c>
      <c r="C85" s="208">
        <f>COUNTIF(CAMPS18!AQ83:AQ247,'CARTE 10'!A85)</f>
        <v>0</v>
      </c>
    </row>
    <row r="86" spans="1:3" x14ac:dyDescent="0.35">
      <c r="A86" s="208">
        <f t="shared" si="1"/>
        <v>83</v>
      </c>
      <c r="B86" s="208">
        <f>SUMIF(CAMPS18!AQ84:AQ248,'CARTE 10'!A86,CAMPS18!R84:R251)</f>
        <v>0</v>
      </c>
      <c r="C86" s="208">
        <f>COUNTIF(CAMPS18!AQ84:AQ248,'CARTE 10'!A86)</f>
        <v>0</v>
      </c>
    </row>
    <row r="87" spans="1:3" x14ac:dyDescent="0.35">
      <c r="A87" s="208">
        <f t="shared" si="1"/>
        <v>84</v>
      </c>
      <c r="B87" s="208">
        <f>SUMIF(CAMPS18!AQ85:AQ249,'CARTE 10'!A87,CAMPS18!R85:R252)</f>
        <v>68</v>
      </c>
      <c r="C87" s="208">
        <f>COUNTIF(CAMPS18!AQ85:AQ249,'CARTE 10'!A87)</f>
        <v>1</v>
      </c>
    </row>
    <row r="88" spans="1:3" x14ac:dyDescent="0.35">
      <c r="A88" s="208">
        <f t="shared" si="1"/>
        <v>85</v>
      </c>
      <c r="B88" s="208">
        <f>SUMIF(CAMPS18!AQ86:AQ250,'CARTE 10'!A88,CAMPS18!R86:R253)</f>
        <v>0</v>
      </c>
      <c r="C88" s="208">
        <f>COUNTIF(CAMPS18!AQ86:AQ250,'CARTE 10'!A88)</f>
        <v>0</v>
      </c>
    </row>
    <row r="89" spans="1:3" x14ac:dyDescent="0.35">
      <c r="A89" s="208">
        <f t="shared" si="1"/>
        <v>86</v>
      </c>
      <c r="B89" s="208">
        <f>SUMIF(CAMPS18!AQ87:AQ251,'CARTE 10'!A89,CAMPS18!R87:R254)</f>
        <v>28</v>
      </c>
      <c r="C89" s="208">
        <f>COUNTIF(CAMPS18!AQ87:AQ251,'CARTE 10'!A89)</f>
        <v>2</v>
      </c>
    </row>
    <row r="90" spans="1:3" x14ac:dyDescent="0.35">
      <c r="A90" s="208">
        <f t="shared" si="1"/>
        <v>87</v>
      </c>
      <c r="B90" s="208">
        <f>SUMIF(CAMPS18!AQ88:AQ252,'CARTE 10'!A90,CAMPS18!R88:R255)</f>
        <v>0</v>
      </c>
      <c r="C90" s="208">
        <f>COUNTIF(CAMPS18!AQ88:AQ252,'CARTE 10'!A90)</f>
        <v>0</v>
      </c>
    </row>
    <row r="91" spans="1:3" x14ac:dyDescent="0.35">
      <c r="A91" s="208">
        <f t="shared" si="1"/>
        <v>88</v>
      </c>
      <c r="B91" s="208">
        <f>SUMIF(CAMPS18!AQ89:AQ253,'CARTE 10'!A91,CAMPS18!R89:R256)</f>
        <v>108</v>
      </c>
      <c r="C91" s="208">
        <f>COUNTIF(CAMPS18!AQ89:AQ253,'CARTE 10'!A91)</f>
        <v>3</v>
      </c>
    </row>
    <row r="92" spans="1:3" x14ac:dyDescent="0.35">
      <c r="A92" s="208">
        <f t="shared" si="1"/>
        <v>89</v>
      </c>
      <c r="B92" s="208">
        <f>SUMIF(CAMPS18!AQ90:AQ254,'CARTE 10'!A92,CAMPS18!R90:R257)</f>
        <v>0</v>
      </c>
      <c r="C92" s="208">
        <f>COUNTIF(CAMPS18!AQ90:AQ254,'CARTE 10'!A92)</f>
        <v>0</v>
      </c>
    </row>
    <row r="93" spans="1:3" x14ac:dyDescent="0.35">
      <c r="A93" s="208">
        <f t="shared" si="1"/>
        <v>90</v>
      </c>
      <c r="B93" s="208">
        <f>SUMIF(CAMPS18!AQ91:AQ255,'CARTE 10'!A93,CAMPS18!R91:R258)</f>
        <v>0</v>
      </c>
      <c r="C93" s="208">
        <f>COUNTIF(CAMPS18!AQ91:AQ255,'CARTE 10'!A93)</f>
        <v>0</v>
      </c>
    </row>
    <row r="94" spans="1:3" x14ac:dyDescent="0.35">
      <c r="A94" s="208">
        <f t="shared" si="1"/>
        <v>91</v>
      </c>
      <c r="B94" s="208">
        <f>SUMIF(CAMPS18!AQ92:AQ256,'CARTE 10'!A94,CAMPS18!R92:R259)</f>
        <v>0</v>
      </c>
      <c r="C94" s="208">
        <f>COUNTIF(CAMPS18!AQ92:AQ256,'CARTE 10'!A94)</f>
        <v>0</v>
      </c>
    </row>
    <row r="95" spans="1:3" x14ac:dyDescent="0.35">
      <c r="A95" s="208">
        <f t="shared" si="1"/>
        <v>92</v>
      </c>
      <c r="B95" s="208">
        <f>SUMIF(CAMPS18!AQ93:AQ257,'CARTE 10'!A95,CAMPS18!R93:R260)</f>
        <v>0</v>
      </c>
      <c r="C95" s="208">
        <f>COUNTIF(CAMPS18!AQ93:AQ257,'CARTE 10'!A95)</f>
        <v>0</v>
      </c>
    </row>
    <row r="96" spans="1:3" x14ac:dyDescent="0.35">
      <c r="A96" s="208">
        <f t="shared" si="1"/>
        <v>93</v>
      </c>
      <c r="B96" s="208">
        <f>SUMIF(CAMPS18!AQ94:AQ258,'CARTE 10'!A96,CAMPS18!R94:R261)</f>
        <v>0</v>
      </c>
      <c r="C96" s="208">
        <f>COUNTIF(CAMPS18!AQ94:AQ258,'CARTE 10'!A96)</f>
        <v>0</v>
      </c>
    </row>
    <row r="97" spans="1:3" x14ac:dyDescent="0.35">
      <c r="A97" s="208">
        <f t="shared" si="1"/>
        <v>94</v>
      </c>
      <c r="B97" s="208">
        <f>SUMIF(CAMPS18!AQ95:AQ259,'CARTE 10'!A97,CAMPS18!R95:R262)</f>
        <v>0</v>
      </c>
      <c r="C97" s="208">
        <f>COUNTIF(CAMPS18!AQ95:AQ259,'CARTE 10'!A97)</f>
        <v>0</v>
      </c>
    </row>
    <row r="98" spans="1:3" x14ac:dyDescent="0.35">
      <c r="A98" s="208">
        <f t="shared" si="1"/>
        <v>95</v>
      </c>
      <c r="B98" s="208">
        <f>SUMIF(CAMPS18!AQ96:AQ260,'CARTE 10'!A98,CAMPS18!R96:R263)</f>
        <v>0</v>
      </c>
      <c r="C98" s="208">
        <f>COUNTIF(CAMPS18!AQ96:AQ260,'CARTE 10'!A98)</f>
        <v>0</v>
      </c>
    </row>
    <row r="99" spans="1:3" x14ac:dyDescent="0.35">
      <c r="A99" s="208">
        <f t="shared" si="1"/>
        <v>96</v>
      </c>
      <c r="B99" s="208">
        <f>SUMIF(CAMPS18!AQ97:AQ261,'CARTE 10'!A99,CAMPS18!R97:R264)</f>
        <v>0</v>
      </c>
      <c r="C99" s="208">
        <f>COUNTIF(CAMPS18!AQ97:AQ261,'CARTE 10'!A99)</f>
        <v>0</v>
      </c>
    </row>
    <row r="100" spans="1:3" x14ac:dyDescent="0.35">
      <c r="A100" s="208">
        <f t="shared" si="1"/>
        <v>97</v>
      </c>
      <c r="B100" s="208">
        <f>SUMIF(CAMPS18!AQ98:AQ262,'CARTE 10'!A100,CAMPS18!R98:R265)</f>
        <v>0</v>
      </c>
      <c r="C100" s="208">
        <f>COUNTIF(CAMPS18!AQ98:AQ262,'CARTE 10'!A100)</f>
        <v>0</v>
      </c>
    </row>
    <row r="101" spans="1:3" x14ac:dyDescent="0.35">
      <c r="A101" s="208">
        <f t="shared" si="1"/>
        <v>98</v>
      </c>
      <c r="B101" s="208">
        <f>SUMIF(CAMPS18!AQ99:AQ263,'CARTE 10'!A101,CAMPS18!R99:R266)</f>
        <v>0</v>
      </c>
      <c r="C101" s="208">
        <f>COUNTIF(CAMPS18!AQ99:AQ263,'CARTE 10'!A101)</f>
        <v>0</v>
      </c>
    </row>
    <row r="102" spans="1:3" x14ac:dyDescent="0.35">
      <c r="A102" s="20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CD032-AA59-422A-8A76-940F4B26F81C}">
  <dimension ref="A1:F35"/>
  <sheetViews>
    <sheetView workbookViewId="0">
      <selection activeCell="A2" sqref="A2"/>
    </sheetView>
  </sheetViews>
  <sheetFormatPr baseColWidth="10" defaultRowHeight="14.5" x14ac:dyDescent="0.35"/>
  <sheetData>
    <row r="1" spans="1:6" x14ac:dyDescent="0.35">
      <c r="A1" s="216" t="s">
        <v>1953</v>
      </c>
    </row>
    <row r="3" spans="1:6" x14ac:dyDescent="0.35">
      <c r="A3" s="208" t="s">
        <v>1944</v>
      </c>
      <c r="B3" s="208" t="s">
        <v>1945</v>
      </c>
      <c r="C3" s="208" t="s">
        <v>1948</v>
      </c>
      <c r="D3" s="208" t="s">
        <v>1040</v>
      </c>
      <c r="E3" s="208" t="s">
        <v>982</v>
      </c>
      <c r="F3" s="208" t="s">
        <v>1949</v>
      </c>
    </row>
    <row r="4" spans="1:6" x14ac:dyDescent="0.35">
      <c r="A4" s="245" t="s">
        <v>905</v>
      </c>
      <c r="B4" s="208" t="s">
        <v>885</v>
      </c>
      <c r="C4" s="208">
        <f>COUNTIF(CAMPS18!AJ:AJ,'CARTE 11'!A4)</f>
        <v>1</v>
      </c>
      <c r="D4" s="208">
        <f>COUNTIF(BAFA18!G:G,'CARTE 11'!A4)</f>
        <v>0</v>
      </c>
      <c r="E4" s="208">
        <f>COUNTIF(BAFD18!G:G,'CARTE 11'!A4)</f>
        <v>0</v>
      </c>
      <c r="F4" s="208">
        <f>COUNTIF('SV18'!G:G,'CARTE 11'!A4)</f>
        <v>0</v>
      </c>
    </row>
    <row r="5" spans="1:6" x14ac:dyDescent="0.35">
      <c r="A5" s="245" t="s">
        <v>906</v>
      </c>
      <c r="B5" s="208" t="s">
        <v>885</v>
      </c>
      <c r="C5" s="208">
        <f>COUNTIF(CAMPS18!AJ:AJ,'CARTE 11'!A5)</f>
        <v>1</v>
      </c>
      <c r="D5" s="208">
        <f>COUNTIF(BAFA18!G:G,'CARTE 11'!A5)</f>
        <v>0</v>
      </c>
      <c r="E5" s="208">
        <f>COUNTIF(BAFD18!G:G,'CARTE 11'!A5)</f>
        <v>0</v>
      </c>
      <c r="F5" s="208">
        <f>COUNTIF('SV18'!G:G,'CARTE 11'!A5)</f>
        <v>0</v>
      </c>
    </row>
    <row r="6" spans="1:6" x14ac:dyDescent="0.35">
      <c r="A6" s="245" t="s">
        <v>907</v>
      </c>
      <c r="B6" s="208" t="s">
        <v>885</v>
      </c>
      <c r="C6" s="208">
        <f>COUNTIF(CAMPS18!AJ:AJ,'CARTE 11'!A6)</f>
        <v>0</v>
      </c>
      <c r="D6" s="208">
        <f>COUNTIF(BAFA18!G:G,'CARTE 11'!A6)</f>
        <v>0</v>
      </c>
      <c r="E6" s="208">
        <f>COUNTIF(BAFD18!G:G,'CARTE 11'!A6)</f>
        <v>0</v>
      </c>
      <c r="F6" s="208">
        <f>COUNTIF('SV18'!G:G,'CARTE 11'!A6)</f>
        <v>1</v>
      </c>
    </row>
    <row r="7" spans="1:6" x14ac:dyDescent="0.35">
      <c r="A7" s="245" t="s">
        <v>903</v>
      </c>
      <c r="B7" s="208" t="s">
        <v>885</v>
      </c>
      <c r="C7" s="208">
        <f>COUNTIF(CAMPS18!AJ:AJ,'CARTE 11'!A7)</f>
        <v>0</v>
      </c>
      <c r="D7" s="208">
        <f>COUNTIF(BAFA18!G:G,'CARTE 11'!A7)</f>
        <v>0</v>
      </c>
      <c r="E7" s="208">
        <f>COUNTIF(BAFD18!G:G,'CARTE 11'!A7)</f>
        <v>0</v>
      </c>
      <c r="F7" s="208">
        <f>COUNTIF('SV18'!G:G,'CARTE 11'!A7)</f>
        <v>0</v>
      </c>
    </row>
    <row r="8" spans="1:6" x14ac:dyDescent="0.35">
      <c r="A8" s="245" t="s">
        <v>904</v>
      </c>
      <c r="B8" s="208" t="s">
        <v>885</v>
      </c>
      <c r="C8" s="208">
        <f>COUNTIF(CAMPS18!AJ:AJ,'CARTE 11'!A8)</f>
        <v>1</v>
      </c>
      <c r="D8" s="208">
        <f>COUNTIF(BAFA18!G:G,'CARTE 11'!A8)</f>
        <v>0</v>
      </c>
      <c r="E8" s="208">
        <f>COUNTIF(BAFD18!G:G,'CARTE 11'!A8)</f>
        <v>0</v>
      </c>
      <c r="F8" s="208">
        <f>COUNTIF('SV18'!G:G,'CARTE 11'!A8)</f>
        <v>0</v>
      </c>
    </row>
    <row r="9" spans="1:6" x14ac:dyDescent="0.35">
      <c r="A9" s="245">
        <v>10029</v>
      </c>
      <c r="B9" s="208" t="s">
        <v>885</v>
      </c>
      <c r="C9" s="208">
        <f>COUNTIF(CAMPS18!AJ:AJ,'CARTE 11'!A9)</f>
        <v>3</v>
      </c>
      <c r="D9" s="208">
        <f>COUNTIF(BAFA18!G:G,'CARTE 11'!A9)</f>
        <v>0</v>
      </c>
      <c r="E9" s="208">
        <f>COUNTIF(BAFD18!G:G,'CARTE 11'!A9)</f>
        <v>0</v>
      </c>
      <c r="F9" s="208">
        <f>COUNTIF('SV18'!G:G,'CARTE 11'!A9)</f>
        <v>0</v>
      </c>
    </row>
    <row r="10" spans="1:6" x14ac:dyDescent="0.35">
      <c r="A10" s="245" t="s">
        <v>902</v>
      </c>
      <c r="B10" s="208" t="s">
        <v>885</v>
      </c>
      <c r="C10" s="208">
        <f>COUNTIF(CAMPS18!AJ:AJ,'CARTE 11'!A10)</f>
        <v>6</v>
      </c>
      <c r="D10" s="208">
        <f>COUNTIF(BAFA18!G:G,'CARTE 11'!A10)</f>
        <v>0</v>
      </c>
      <c r="E10" s="208">
        <f>COUNTIF(BAFD18!G:G,'CARTE 11'!A10)</f>
        <v>2</v>
      </c>
      <c r="F10" s="208">
        <f>COUNTIF('SV18'!G:G,'CARTE 11'!A10)</f>
        <v>2</v>
      </c>
    </row>
    <row r="11" spans="1:6" x14ac:dyDescent="0.35">
      <c r="A11" s="245">
        <v>13001</v>
      </c>
      <c r="B11" s="208" t="s">
        <v>885</v>
      </c>
      <c r="C11" s="208">
        <f>COUNTIF(CAMPS18!AJ:AJ,'CARTE 11'!A11)</f>
        <v>0</v>
      </c>
      <c r="D11" s="208">
        <f>COUNTIF(BAFA18!G:G,'CARTE 11'!A11)</f>
        <v>1</v>
      </c>
      <c r="E11" s="208">
        <f>COUNTIF(BAFD18!G:G,'CARTE 11'!A11)</f>
        <v>0</v>
      </c>
      <c r="F11" s="208">
        <f>COUNTIF('SV18'!G:G,'CARTE 11'!A11)</f>
        <v>0</v>
      </c>
    </row>
    <row r="12" spans="1:6" x14ac:dyDescent="0.35">
      <c r="A12" s="245">
        <v>17140</v>
      </c>
      <c r="B12" s="208" t="s">
        <v>885</v>
      </c>
      <c r="C12" s="208">
        <f>COUNTIF(CAMPS18!AJ:AJ,'CARTE 11'!A12)</f>
        <v>0</v>
      </c>
      <c r="D12" s="208">
        <f>COUNTIF(BAFA18!G:G,'CARTE 11'!A12)</f>
        <v>0</v>
      </c>
      <c r="E12" s="208">
        <f>COUNTIF(BAFD18!G:G,'CARTE 11'!A12)</f>
        <v>0</v>
      </c>
      <c r="F12" s="208">
        <f>COUNTIF('SV18'!G:G,'CARTE 11'!A12)</f>
        <v>0</v>
      </c>
    </row>
    <row r="13" spans="1:6" x14ac:dyDescent="0.35">
      <c r="A13" s="245">
        <v>21017</v>
      </c>
      <c r="B13" s="208" t="s">
        <v>885</v>
      </c>
      <c r="C13" s="208">
        <f>COUNTIF(CAMPS18!AJ:AJ,'CARTE 11'!A13)</f>
        <v>3</v>
      </c>
      <c r="D13" s="208">
        <f>COUNTIF(BAFA18!G:G,'CARTE 11'!A13)</f>
        <v>0</v>
      </c>
      <c r="E13" s="208">
        <f>COUNTIF(BAFD18!G:G,'CARTE 11'!A13)</f>
        <v>0</v>
      </c>
      <c r="F13" s="208">
        <f>COUNTIF('SV18'!G:G,'CARTE 11'!A13)</f>
        <v>0</v>
      </c>
    </row>
    <row r="14" spans="1:6" x14ac:dyDescent="0.35">
      <c r="A14" s="245">
        <v>24183</v>
      </c>
      <c r="B14" s="208" t="s">
        <v>885</v>
      </c>
      <c r="C14" s="208">
        <f>COUNTIF(CAMPS18!AJ:AJ,'CARTE 11'!A14)</f>
        <v>1</v>
      </c>
      <c r="D14" s="208">
        <f>COUNTIF(BAFA18!G:G,'CARTE 11'!A14)</f>
        <v>1</v>
      </c>
      <c r="E14" s="208">
        <f>COUNTIF(BAFD18!G:G,'CARTE 11'!A14)</f>
        <v>0</v>
      </c>
      <c r="F14" s="208">
        <f>COUNTIF('SV18'!G:G,'CARTE 11'!A14)</f>
        <v>1</v>
      </c>
    </row>
    <row r="15" spans="1:6" x14ac:dyDescent="0.35">
      <c r="A15" s="245" t="s">
        <v>918</v>
      </c>
      <c r="B15" s="208" t="s">
        <v>885</v>
      </c>
      <c r="C15" s="208">
        <f>COUNTIF(CAMPS18!AJ:AJ,'CARTE 11'!A15)</f>
        <v>1</v>
      </c>
      <c r="D15" s="208">
        <f>COUNTIF(BAFA18!G:G,'CARTE 11'!A15)</f>
        <v>0</v>
      </c>
      <c r="E15" s="208">
        <f>COUNTIF(BAFD18!G:G,'CARTE 11'!A15)</f>
        <v>0</v>
      </c>
      <c r="F15" s="208">
        <f>COUNTIF('SV18'!G:G,'CARTE 11'!A15)</f>
        <v>1</v>
      </c>
    </row>
    <row r="16" spans="1:6" x14ac:dyDescent="0.35">
      <c r="A16" s="245">
        <v>35334</v>
      </c>
      <c r="B16" s="208" t="s">
        <v>885</v>
      </c>
      <c r="C16" s="208">
        <f>COUNTIF(CAMPS18!AJ:AJ,'CARTE 11'!A16)</f>
        <v>0</v>
      </c>
      <c r="D16" s="208">
        <f>COUNTIF(BAFA18!G:G,'CARTE 11'!A16)</f>
        <v>1</v>
      </c>
      <c r="E16" s="208">
        <f>COUNTIF(BAFD18!G:G,'CARTE 11'!A16)</f>
        <v>1</v>
      </c>
      <c r="F16" s="208">
        <f>COUNTIF('SV18'!G:G,'CARTE 11'!A16)</f>
        <v>3</v>
      </c>
    </row>
    <row r="17" spans="1:6" x14ac:dyDescent="0.35">
      <c r="A17" s="245">
        <v>37132</v>
      </c>
      <c r="B17" s="208" t="s">
        <v>885</v>
      </c>
      <c r="C17" s="208">
        <f>COUNTIF(CAMPS18!AJ:AJ,'CARTE 11'!A17)</f>
        <v>1</v>
      </c>
      <c r="D17" s="208">
        <f>COUNTIF(BAFA18!G:G,'CARTE 11'!A17)</f>
        <v>0</v>
      </c>
      <c r="E17" s="208">
        <f>COUNTIF(BAFD18!G:G,'CARTE 11'!A17)</f>
        <v>0</v>
      </c>
      <c r="F17" s="208">
        <f>COUNTIF('SV18'!G:G,'CARTE 11'!A17)</f>
        <v>0</v>
      </c>
    </row>
    <row r="18" spans="1:6" x14ac:dyDescent="0.35">
      <c r="A18" s="245">
        <v>42039</v>
      </c>
      <c r="B18" s="208" t="s">
        <v>885</v>
      </c>
      <c r="C18" s="208">
        <f>COUNTIF(CAMPS18!AJ:AJ,'CARTE 11'!A18)</f>
        <v>1</v>
      </c>
      <c r="D18" s="208">
        <f>COUNTIF(BAFA18!G:G,'CARTE 11'!A18)</f>
        <v>0</v>
      </c>
      <c r="E18" s="208">
        <f>COUNTIF(BAFD18!G:G,'CARTE 11'!A18)</f>
        <v>0</v>
      </c>
      <c r="F18" s="208">
        <f>COUNTIF('SV18'!G:G,'CARTE 11'!A18)</f>
        <v>0</v>
      </c>
    </row>
    <row r="19" spans="1:6" x14ac:dyDescent="0.35">
      <c r="A19" s="245">
        <v>42292</v>
      </c>
      <c r="B19" s="208" t="s">
        <v>885</v>
      </c>
      <c r="C19" s="208">
        <f>COUNTIF(CAMPS18!AJ:AJ,'CARTE 11'!A19)</f>
        <v>0</v>
      </c>
      <c r="D19" s="208">
        <f>COUNTIF(BAFA18!G:G,'CARTE 11'!A19)</f>
        <v>0</v>
      </c>
      <c r="E19" s="208">
        <f>COUNTIF(BAFD18!G:G,'CARTE 11'!A19)</f>
        <v>0</v>
      </c>
      <c r="F19" s="208">
        <f>COUNTIF('SV18'!G:G,'CARTE 11'!A19)</f>
        <v>0</v>
      </c>
    </row>
    <row r="20" spans="1:6" x14ac:dyDescent="0.35">
      <c r="A20" s="245">
        <v>48132</v>
      </c>
      <c r="B20" s="208" t="s">
        <v>885</v>
      </c>
      <c r="C20" s="208">
        <f>COUNTIF(CAMPS18!AJ:AJ,'CARTE 11'!A20)</f>
        <v>1</v>
      </c>
      <c r="D20" s="208">
        <f>COUNTIF(BAFA18!G:G,'CARTE 11'!A20)</f>
        <v>0</v>
      </c>
      <c r="E20" s="208">
        <f>COUNTIF(BAFD18!G:G,'CARTE 11'!A20)</f>
        <v>0</v>
      </c>
      <c r="F20" s="208">
        <f>COUNTIF('SV18'!G:G,'CARTE 11'!A20)</f>
        <v>0</v>
      </c>
    </row>
    <row r="21" spans="1:6" x14ac:dyDescent="0.35">
      <c r="A21" s="245">
        <v>56162</v>
      </c>
      <c r="B21" s="208" t="s">
        <v>885</v>
      </c>
      <c r="C21" s="208">
        <f>COUNTIF(CAMPS18!AJ:AJ,'CARTE 11'!A21)</f>
        <v>1</v>
      </c>
      <c r="D21" s="208">
        <f>COUNTIF(BAFA18!G:G,'CARTE 11'!A21)</f>
        <v>1</v>
      </c>
      <c r="E21" s="208">
        <f>COUNTIF(BAFD18!G:G,'CARTE 11'!A21)</f>
        <v>0</v>
      </c>
      <c r="F21" s="208">
        <f>COUNTIF('SV18'!G:G,'CARTE 11'!A21)</f>
        <v>0</v>
      </c>
    </row>
    <row r="22" spans="1:6" x14ac:dyDescent="0.35">
      <c r="A22" s="245" t="s">
        <v>909</v>
      </c>
      <c r="B22" s="208" t="s">
        <v>885</v>
      </c>
      <c r="C22" s="208">
        <f>COUNTIF(CAMPS18!AJ:AJ,'CARTE 11'!A22)</f>
        <v>1</v>
      </c>
      <c r="D22" s="208">
        <f>COUNTIF(BAFA18!G:G,'CARTE 11'!A22)</f>
        <v>0</v>
      </c>
      <c r="E22" s="208">
        <f>COUNTIF(BAFD18!G:G,'CARTE 11'!A22)</f>
        <v>0</v>
      </c>
      <c r="F22" s="208">
        <f>COUNTIF('SV18'!G:G,'CARTE 11'!A22)</f>
        <v>0</v>
      </c>
    </row>
    <row r="23" spans="1:6" x14ac:dyDescent="0.35">
      <c r="A23" s="245">
        <v>65078</v>
      </c>
      <c r="B23" s="208" t="s">
        <v>885</v>
      </c>
      <c r="C23" s="208">
        <f>COUNTIF(CAMPS18!AJ:AJ,'CARTE 11'!A23)</f>
        <v>1</v>
      </c>
      <c r="D23" s="208">
        <f>COUNTIF(BAFA18!G:G,'CARTE 11'!A23)</f>
        <v>0</v>
      </c>
      <c r="E23" s="208">
        <f>COUNTIF(BAFD18!G:G,'CARTE 11'!A23)</f>
        <v>0</v>
      </c>
      <c r="F23" s="208">
        <f>COUNTIF('SV18'!G:G,'CARTE 11'!A23)</f>
        <v>0</v>
      </c>
    </row>
    <row r="24" spans="1:6" x14ac:dyDescent="0.35">
      <c r="A24" s="245">
        <v>67191</v>
      </c>
      <c r="B24" s="208" t="s">
        <v>885</v>
      </c>
      <c r="C24" s="208">
        <f>COUNTIF(CAMPS18!AJ:AJ,'CARTE 11'!A24)</f>
        <v>0</v>
      </c>
      <c r="D24" s="208">
        <f>COUNTIF(BAFA18!G:G,'CARTE 11'!A24)</f>
        <v>0</v>
      </c>
      <c r="E24" s="208">
        <f>COUNTIF(BAFD18!G:G,'CARTE 11'!A24)</f>
        <v>0</v>
      </c>
      <c r="F24" s="208">
        <f>COUNTIF('SV18'!G:G,'CARTE 11'!A24)</f>
        <v>0</v>
      </c>
    </row>
    <row r="25" spans="1:6" x14ac:dyDescent="0.35">
      <c r="A25" s="245">
        <v>69164</v>
      </c>
      <c r="B25" s="208" t="s">
        <v>885</v>
      </c>
      <c r="C25" s="208">
        <f>COUNTIF(CAMPS18!AJ:AJ,'CARTE 11'!A25)</f>
        <v>2</v>
      </c>
      <c r="D25" s="208">
        <f>COUNTIF(BAFA18!G:G,'CARTE 11'!A25)</f>
        <v>1</v>
      </c>
      <c r="E25" s="208">
        <f>COUNTIF(BAFD18!G:G,'CARTE 11'!A25)</f>
        <v>1</v>
      </c>
      <c r="F25" s="208">
        <f>COUNTIF('SV18'!G:G,'CARTE 11'!A25)</f>
        <v>0</v>
      </c>
    </row>
    <row r="26" spans="1:6" x14ac:dyDescent="0.35">
      <c r="A26" s="245">
        <v>81201</v>
      </c>
      <c r="B26" s="208" t="s">
        <v>885</v>
      </c>
      <c r="C26" s="208">
        <f>COUNTIF(CAMPS18!AJ:AJ,'CARTE 11'!A26)</f>
        <v>10</v>
      </c>
      <c r="D26" s="208">
        <f>COUNTIF(BAFA18!G:G,'CARTE 11'!A26)</f>
        <v>1</v>
      </c>
      <c r="E26" s="208">
        <f>COUNTIF(BAFD18!G:G,'CARTE 11'!A26)</f>
        <v>0</v>
      </c>
      <c r="F26" s="208">
        <f>COUNTIF('SV18'!G:G,'CARTE 11'!A26)</f>
        <v>0</v>
      </c>
    </row>
    <row r="27" spans="1:6" x14ac:dyDescent="0.35">
      <c r="A27" s="245">
        <v>84110</v>
      </c>
      <c r="B27" s="208" t="s">
        <v>885</v>
      </c>
      <c r="C27" s="208">
        <f>COUNTIF(CAMPS18!AJ:AJ,'CARTE 11'!A27)</f>
        <v>1</v>
      </c>
      <c r="D27" s="208">
        <f>COUNTIF(BAFA18!G:G,'CARTE 11'!A27)</f>
        <v>0</v>
      </c>
      <c r="E27" s="208">
        <f>COUNTIF(BAFD18!G:G,'CARTE 11'!A27)</f>
        <v>0</v>
      </c>
      <c r="F27" s="208">
        <f>COUNTIF('SV18'!G:G,'CARTE 11'!A27)</f>
        <v>0</v>
      </c>
    </row>
    <row r="28" spans="1:6" x14ac:dyDescent="0.35">
      <c r="A28" s="245" t="s">
        <v>908</v>
      </c>
      <c r="B28" s="208" t="s">
        <v>885</v>
      </c>
      <c r="C28" s="208">
        <f>COUNTIF(CAMPS18!AJ:AJ,'CARTE 11'!A28)</f>
        <v>0</v>
      </c>
      <c r="D28" s="208">
        <f>COUNTIF(BAFA18!G:G,'CARTE 11'!A28)</f>
        <v>0</v>
      </c>
      <c r="E28" s="208">
        <f>COUNTIF(BAFD18!G:G,'CARTE 11'!A28)</f>
        <v>0</v>
      </c>
      <c r="F28" s="208">
        <f>COUNTIF('SV18'!G:G,'CARTE 11'!A28)</f>
        <v>0</v>
      </c>
    </row>
    <row r="29" spans="1:6" x14ac:dyDescent="0.35">
      <c r="A29" s="245">
        <v>86024</v>
      </c>
      <c r="B29" s="208" t="s">
        <v>885</v>
      </c>
      <c r="C29" s="208">
        <f>COUNTIF(CAMPS18!AJ:AJ,'CARTE 11'!A29)</f>
        <v>0</v>
      </c>
      <c r="D29" s="208">
        <f>COUNTIF(BAFA18!G:G,'CARTE 11'!A29)</f>
        <v>1</v>
      </c>
      <c r="E29" s="208">
        <f>COUNTIF(BAFD18!G:G,'CARTE 11'!A29)</f>
        <v>0</v>
      </c>
      <c r="F29" s="208">
        <f>COUNTIF('SV18'!G:G,'CARTE 11'!A29)</f>
        <v>0</v>
      </c>
    </row>
    <row r="30" spans="1:6" x14ac:dyDescent="0.35">
      <c r="A30" s="245">
        <v>86203</v>
      </c>
      <c r="B30" s="208" t="s">
        <v>885</v>
      </c>
      <c r="C30" s="208">
        <f>COUNTIF(CAMPS18!AJ:AJ,'CARTE 11'!A30)</f>
        <v>3</v>
      </c>
      <c r="D30" s="208">
        <f>COUNTIF(BAFA18!G:G,'CARTE 11'!A30)</f>
        <v>0</v>
      </c>
      <c r="E30" s="208">
        <f>COUNTIF(BAFD18!G:G,'CARTE 11'!A30)</f>
        <v>0</v>
      </c>
      <c r="F30" s="208">
        <f>COUNTIF('SV18'!G:G,'CARTE 11'!A30)</f>
        <v>0</v>
      </c>
    </row>
    <row r="31" spans="1:6" x14ac:dyDescent="0.35">
      <c r="A31" s="245" t="s">
        <v>923</v>
      </c>
      <c r="B31" s="208" t="s">
        <v>881</v>
      </c>
      <c r="C31" s="208">
        <f>COUNTIF(CAMPS18!AJ:AJ,'CARTE 11'!A31)</f>
        <v>7</v>
      </c>
      <c r="D31" s="208">
        <f>COUNTIF(BAFA18!G:G,'CARTE 11'!A31)</f>
        <v>11</v>
      </c>
      <c r="E31" s="208">
        <f>COUNTIF(BAFD18!G:G,'CARTE 11'!A31)</f>
        <v>2</v>
      </c>
      <c r="F31" s="208">
        <f>COUNTIF('SV18'!G:G,'CARTE 11'!A31)</f>
        <v>1</v>
      </c>
    </row>
    <row r="32" spans="1:6" x14ac:dyDescent="0.35">
      <c r="A32" s="245" t="s">
        <v>924</v>
      </c>
      <c r="B32" s="208" t="s">
        <v>881</v>
      </c>
      <c r="C32" s="208">
        <f>COUNTIF(CAMPS18!AJ:AJ,'CARTE 11'!A32)</f>
        <v>0</v>
      </c>
      <c r="D32" s="208">
        <f>COUNTIF(BAFA18!G:G,'CARTE 11'!A32)</f>
        <v>0</v>
      </c>
      <c r="E32" s="208">
        <f>COUNTIF(BAFD18!G:G,'CARTE 11'!A32)</f>
        <v>0</v>
      </c>
      <c r="F32" s="208">
        <f>COUNTIF('SV18'!G:G,'CARTE 11'!A32)</f>
        <v>1</v>
      </c>
    </row>
    <row r="33" spans="1:6" x14ac:dyDescent="0.35">
      <c r="A33" s="245" t="s">
        <v>925</v>
      </c>
      <c r="B33" s="208" t="s">
        <v>881</v>
      </c>
      <c r="C33" s="208">
        <f>COUNTIF(CAMPS18!AJ:AJ,'CARTE 11'!A33)</f>
        <v>5</v>
      </c>
      <c r="D33" s="208">
        <f>COUNTIF(BAFA18!G:G,'CARTE 11'!A33)</f>
        <v>3</v>
      </c>
      <c r="E33" s="208">
        <f>COUNTIF(BAFD18!G:G,'CARTE 11'!A33)</f>
        <v>0</v>
      </c>
      <c r="F33" s="208">
        <f>COUNTIF('SV18'!G:G,'CARTE 11'!A33)</f>
        <v>2</v>
      </c>
    </row>
    <row r="34" spans="1:6" x14ac:dyDescent="0.35">
      <c r="A34" s="245" t="s">
        <v>1201</v>
      </c>
      <c r="B34" s="208" t="s">
        <v>881</v>
      </c>
      <c r="C34" s="208">
        <f>COUNTIF(CAMPS18!AJ:AJ,'CARTE 11'!A34)</f>
        <v>3</v>
      </c>
      <c r="D34" s="208">
        <f>COUNTIF(BAFA18!G:G,'CARTE 11'!A34)</f>
        <v>2</v>
      </c>
      <c r="E34" s="208">
        <f>COUNTIF(BAFD18!G:G,'CARTE 11'!A34)</f>
        <v>0</v>
      </c>
      <c r="F34" s="208">
        <f>COUNTIF('SV18'!G:G,'CARTE 11'!A34)</f>
        <v>1</v>
      </c>
    </row>
    <row r="35" spans="1:6" x14ac:dyDescent="0.35">
      <c r="A35" s="245" t="s">
        <v>1203</v>
      </c>
      <c r="B35" s="208" t="s">
        <v>881</v>
      </c>
      <c r="C35" s="208">
        <f>COUNTIF(CAMPS18!AJ:AJ,'CARTE 11'!A35)</f>
        <v>1</v>
      </c>
      <c r="D35" s="208">
        <f>COUNTIF(BAFA18!G:G,'CARTE 11'!A35)</f>
        <v>0</v>
      </c>
      <c r="E35" s="208">
        <f>COUNTIF(BAFD18!G:G,'CARTE 11'!A35)</f>
        <v>0</v>
      </c>
      <c r="F35" s="208">
        <f>COUNTIF('SV18'!G:G,'CARTE 11'!A35)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CAMPS18</vt:lpstr>
      <vt:lpstr>BAFA18</vt:lpstr>
      <vt:lpstr>BAFD18</vt:lpstr>
      <vt:lpstr>SV18</vt:lpstr>
      <vt:lpstr>CARTE 2</vt:lpstr>
      <vt:lpstr>CARTE 4</vt:lpstr>
      <vt:lpstr>CARTE 5</vt:lpstr>
      <vt:lpstr>CARTE 6</vt:lpstr>
      <vt:lpstr>CARTE 7</vt:lpstr>
      <vt:lpstr>CARTE 9</vt:lpstr>
      <vt:lpstr>CARTE 10</vt:lpstr>
      <vt:lpstr>CARTE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EEDF - Pascale SOUSA</dc:creator>
  <cp:lastModifiedBy>Pierre BOULANGER</cp:lastModifiedBy>
  <cp:lastPrinted>2016-07-11T13:57:39Z</cp:lastPrinted>
  <dcterms:created xsi:type="dcterms:W3CDTF">2016-03-31T07:29:20Z</dcterms:created>
  <dcterms:modified xsi:type="dcterms:W3CDTF">2019-01-17T16:54:06Z</dcterms:modified>
</cp:coreProperties>
</file>